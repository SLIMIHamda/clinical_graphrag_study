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n_Manifest" sheetId="2" state="visible" r:id="rId4"/>
    <sheet name="Conditions" sheetId="3" state="visible" r:id="rId5"/>
    <sheet name="Benchmarks" sheetId="4" state="visible" r:id="rId6"/>
    <sheet name="Backbones" sheetId="5" state="visible" r:id="rId7"/>
    <sheet name="Metrics" sheetId="6" state="visible" r:id="rId8"/>
    <sheet name="Statistics" sheetId="7" state="visible" r:id="rId9"/>
    <sheet name="Budget_Summary" sheetId="8" state="visible" r:id="rId10"/>
    <sheet name="Gates" sheetId="9" state="visible" r:id="rId11"/>
  </sheets>
  <definedNames>
    <definedName function="false" hidden="true" localSheetId="1" name="_xlnm._FilterDatabase" vbProcedure="false">Run_Manifest!$A$1:$Y$245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<sst xmlns="http://schemas.openxmlformats.org/spreadsheetml/2006/main" count="3643" uniqueCount="560">
  <si>
    <t xml:space="preserve">Experiment Matrix — Hybrid Graph-RAG for Medical QA (Journal Upgrade)</t>
  </si>
  <si>
    <t xml:space="preserve">Conditions × Benchmarks × Backbones × Seeds, with a live run manifest and budget.</t>
  </si>
  <si>
    <t xml:space="preserve">Purpose</t>
  </si>
  <si>
    <t xml:space="preserve">A directly executable plan: every row of Run_Manifest is one job = (condition × benchmark × backbone × seed). A run processes all items in that benchmark at that seed.</t>
  </si>
  <si>
    <t xml:space="preserve">How to use</t>
  </si>
  <si>
    <t xml:space="preserve">1) Pick a row in Run_Manifest. 2) Set Status (dropdown) and Owner; fill started/finished and result_path. 3) Budget_Summary and Live progress update automatically.</t>
  </si>
  <si>
    <t xml:space="preserve">Unit of work</t>
  </si>
  <si>
    <t xml:space="preserve">1 run = 1 condition on 1 benchmark with 1 backbone at 1 seed. Item-level outputs are stored as JSONL/Parquet at result_path.</t>
  </si>
  <si>
    <t xml:space="preserve">Sheets</t>
  </si>
  <si>
    <t xml:space="preserve">Run_Manifest (the matrix) · Conditions · Benchmarks · Backbones · Metrics · Statistics · Budget_Summary (live) · Gates.</t>
  </si>
  <si>
    <t xml:space="preserve">Contributions tracked</t>
  </si>
  <si>
    <t xml:space="preserve">C1 RGD (decomposition) · C2 CA-RRF (concept fusion) · C3 CARe (adaptive reranking). Headline arm = Hybrid-CARRF-CARe.</t>
  </si>
  <si>
    <t xml:space="preserve">Priority tiers</t>
  </si>
  <si>
    <t xml:space="preserve">P0 = main comparison (3 seeds, all benchmarks, primary backbone). P1 = model-zoo / RGD generality. P2 = ablations.</t>
  </si>
  <si>
    <t xml:space="preserve">Status legend</t>
  </si>
  <si>
    <t xml:space="preserve">Pending · Ready · Running · Done · Failed · Blocked (color-coded in Run_Manifest column I).</t>
  </si>
  <si>
    <t xml:space="preserve">Cost model</t>
  </si>
  <si>
    <t xml:space="preserve">est_tokens = n_items × tokens/item × ctx_factor; est_cost = est_tokens/1e6 × rate. Rates are blended per-1M-token estimates (Backbones sheet) — not vendor quotes.</t>
  </si>
  <si>
    <t xml:space="preserve">Key gates</t>
  </si>
  <si>
    <t xml:space="preserve">Clinical arm depends on R1 (MIMIC governance) resolved by Day 5. Graph conditions depend on G3 (grounded graph) frozen at Day 20.</t>
  </si>
  <si>
    <t xml:space="preserve">Companion docs</t>
  </si>
  <si>
    <t xml:space="preserve">Doc 1: Enriched Experiments &amp; Reframed Contributions · Doc 2: 50-Day Plan (hardware, complexity) · Doc 3: Paper Structure &amp; Skeleton.</t>
  </si>
  <si>
    <t xml:space="preserve">Note</t>
  </si>
  <si>
    <t xml:space="preserve">Figures are planning estimates; treat them as a budget envelope, refine against actual provider pricing and rate limits.</t>
  </si>
  <si>
    <t xml:space="preserve">run_id</t>
  </si>
  <si>
    <t xml:space="preserve">priority</t>
  </si>
  <si>
    <t xml:space="preserve">phase</t>
  </si>
  <si>
    <t xml:space="preserve">track</t>
  </si>
  <si>
    <t xml:space="preserve">condition</t>
  </si>
  <si>
    <t xml:space="preserve">backbone</t>
  </si>
  <si>
    <t xml:space="preserve">benchmark</t>
  </si>
  <si>
    <t xml:space="preserve">seed</t>
  </si>
  <si>
    <t xml:space="preserve">status</t>
  </si>
  <si>
    <t xml:space="preserve">owner</t>
  </si>
  <si>
    <t xml:space="preserve">started</t>
  </si>
  <si>
    <t xml:space="preserve">finished</t>
  </si>
  <si>
    <t xml:space="preserve">fusion</t>
  </si>
  <si>
    <t xml:space="preserve">rerank</t>
  </si>
  <si>
    <t xml:space="preserve">grounding</t>
  </si>
  <si>
    <t xml:space="preserve">retr_depth_k</t>
  </si>
  <si>
    <t xml:space="preserve">ctx_factor</t>
  </si>
  <si>
    <t xml:space="preserve">n_items</t>
  </si>
  <si>
    <t xml:space="preserve">tokens/item</t>
  </si>
  <si>
    <t xml:space="preserve">est_tokens</t>
  </si>
  <si>
    <t xml:space="preserve">rate $/M</t>
  </si>
  <si>
    <t xml:space="preserve">est_cost $</t>
  </si>
  <si>
    <t xml:space="preserve">depends_on</t>
  </si>
  <si>
    <t xml:space="preserve">result_path</t>
  </si>
  <si>
    <t xml:space="preserve">notes</t>
  </si>
  <si>
    <t xml:space="preserve">R0001</t>
  </si>
  <si>
    <t xml:space="preserve">P0</t>
  </si>
  <si>
    <t xml:space="preserve">P2</t>
  </si>
  <si>
    <t xml:space="preserve">T2</t>
  </si>
  <si>
    <t xml:space="preserve">No-RAG</t>
  </si>
  <si>
    <t xml:space="preserve">Llama-70B</t>
  </si>
  <si>
    <t xml:space="preserve">MMLU-Med</t>
  </si>
  <si>
    <t xml:space="preserve">Pending</t>
  </si>
  <si>
    <t xml:space="preserve">—</t>
  </si>
  <si>
    <t xml:space="preserve">off</t>
  </si>
  <si>
    <t xml:space="preserve">H2 (harness)</t>
  </si>
  <si>
    <t xml:space="preserve">R0002</t>
  </si>
  <si>
    <t xml:space="preserve">R0003</t>
  </si>
  <si>
    <t xml:space="preserve">R0004</t>
  </si>
  <si>
    <t xml:space="preserve">MedQA-US</t>
  </si>
  <si>
    <t xml:space="preserve">R0005</t>
  </si>
  <si>
    <t xml:space="preserve">R0006</t>
  </si>
  <si>
    <t xml:space="preserve">R0007</t>
  </si>
  <si>
    <t xml:space="preserve">MedMCQA</t>
  </si>
  <si>
    <t xml:space="preserve">R0008</t>
  </si>
  <si>
    <t xml:space="preserve">R0009</t>
  </si>
  <si>
    <t xml:space="preserve">R0010</t>
  </si>
  <si>
    <t xml:space="preserve">PubMedQA</t>
  </si>
  <si>
    <t xml:space="preserve">R0011</t>
  </si>
  <si>
    <t xml:space="preserve">R0012</t>
  </si>
  <si>
    <t xml:space="preserve">R0013</t>
  </si>
  <si>
    <t xml:space="preserve">BioASQ-YN</t>
  </si>
  <si>
    <t xml:space="preserve">R0014</t>
  </si>
  <si>
    <t xml:space="preserve">R0015</t>
  </si>
  <si>
    <t xml:space="preserve">R0016</t>
  </si>
  <si>
    <t xml:space="preserve">GraphRAG-Bench-Med</t>
  </si>
  <si>
    <t xml:space="preserve">R0017</t>
  </si>
  <si>
    <t xml:space="preserve">R0018</t>
  </si>
  <si>
    <t xml:space="preserve">R0019</t>
  </si>
  <si>
    <t xml:space="preserve">Clinical-Set</t>
  </si>
  <si>
    <t xml:space="preserve">R0020</t>
  </si>
  <si>
    <t xml:space="preserve">R0021</t>
  </si>
  <si>
    <t xml:space="preserve">R0022</t>
  </si>
  <si>
    <t xml:space="preserve">OverRefusal</t>
  </si>
  <si>
    <t xml:space="preserve">R0023</t>
  </si>
  <si>
    <t xml:space="preserve">R0024</t>
  </si>
  <si>
    <t xml:space="preserve">R0025</t>
  </si>
  <si>
    <t xml:space="preserve">BM25</t>
  </si>
  <si>
    <t xml:space="preserve">32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</si>
  <si>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</si>
  <si>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</si>
  <si>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</si>
  <si>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</si>
  <si>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</si>
  <si>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</si>
  <si>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</si>
  <si>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</si>
  <si>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</si>
  <si>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</si>
  <si>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</si>
  <si>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</si>
  <si>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</si>
  <si>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</si>
  <si>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</si>
  <si>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</si>
  <si>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</si>
  <si>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</si>
  <si>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</si>
  <si>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</si>
  <si>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</si>
  <si>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</si>
  <si>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</si>
  <si>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</si>
  <si>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Dense-MedCPT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</si>
  <si>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</si>
  <si>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</si>
  <si>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</si>
  <si>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</si>
  <si>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</si>
  <si>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</si>
  <si>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</si>
  <si>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</si>
  <si>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</si>
  <si>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</si>
  <si>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</si>
  <si>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</si>
  <si>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</si>
  <si>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</si>
  <si>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</si>
  <si>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</si>
  <si>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</si>
  <si>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</si>
  <si>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</si>
  <si>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</si>
  <si>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</si>
  <si>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</si>
  <si>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</si>
  <si>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</si>
  <si>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Graph-only</t>
  </si>
  <si>
    <t xml:space="preserve">on</t>
  </si>
  <si>
    <t xml:space="preserve">2-hop</t>
  </si>
  <si>
    <t xml:space="preserve">G3 (grounded graph)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</si>
  <si>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</si>
  <si>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</si>
  <si>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</si>
  <si>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</si>
  <si>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</si>
  <si>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</si>
  <si>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</si>
  <si>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</si>
  <si>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</si>
  <si>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</si>
  <si>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</si>
  <si>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</si>
  <si>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</si>
  <si>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</si>
  <si>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</si>
  <si>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</si>
  <si>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</si>
  <si>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</si>
  <si>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</si>
  <si>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</si>
  <si>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</si>
  <si>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</si>
  <si>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</si>
  <si>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</si>
  <si>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MedGraphRAG-repro</t>
  </si>
  <si>
    <t xml:space="preserve">builtin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</si>
  <si>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</si>
  <si>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</si>
  <si>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</si>
  <si>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</si>
  <si>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</si>
  <si>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</si>
  <si>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</si>
  <si>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</si>
  <si>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</si>
  <si>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</si>
  <si>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</si>
  <si>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</si>
  <si>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</si>
  <si>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</si>
  <si>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</si>
  <si>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</si>
  <si>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</si>
  <si>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</si>
  <si>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</si>
  <si>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</si>
  <si>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</si>
  <si>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</si>
  <si>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</si>
  <si>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</si>
  <si>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Hybrid-RRF4</t>
  </si>
  <si>
    <t xml:space="preserve">RRF-4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</si>
  <si>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</si>
  <si>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</si>
  <si>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</si>
  <si>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</si>
  <si>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</si>
  <si>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</si>
  <si>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</si>
  <si>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</si>
  <si>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</si>
  <si>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</si>
  <si>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</si>
  <si>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</si>
  <si>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</si>
  <si>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</si>
  <si>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</si>
  <si>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</si>
  <si>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</si>
  <si>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</si>
  <si>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</si>
  <si>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</si>
  <si>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</si>
  <si>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</si>
  <si>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</si>
  <si>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</si>
  <si>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P3</t>
  </si>
  <si>
    <t xml:space="preserve">T3</t>
  </si>
  <si>
    <t xml:space="preserve">Hybrid-CARRF</t>
  </si>
  <si>
    <t xml:space="preserve">CA-RRF</t>
  </si>
  <si>
    <t xml:space="preserve">32 + 2-hop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</si>
  <si>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</si>
  <si>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</si>
  <si>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</si>
  <si>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</si>
  <si>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</si>
  <si>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</si>
  <si>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</si>
  <si>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</si>
  <si>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</si>
  <si>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</si>
  <si>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</si>
  <si>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</si>
  <si>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</si>
  <si>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</si>
  <si>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</si>
  <si>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</si>
  <si>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</si>
  <si>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</si>
  <si>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</si>
  <si>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</si>
  <si>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</si>
  <si>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</si>
  <si>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</si>
  <si>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</si>
  <si>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P4</t>
  </si>
  <si>
    <t xml:space="preserve">Hybrid-CARRF-CARe</t>
  </si>
  <si>
    <t xml:space="preserve">adaptive</t>
  </si>
  <si>
    <t xml:space="preserve">P3 gate + oracle labels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</si>
  <si>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</si>
  <si>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</si>
  <si>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</si>
  <si>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</si>
  <si>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</si>
  <si>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</si>
  <si>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</si>
  <si>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</si>
  <si>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</si>
  <si>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</si>
  <si>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</si>
  <si>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</si>
  <si>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</si>
  <si>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</si>
  <si>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</si>
  <si>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</si>
  <si>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</si>
  <si>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</si>
  <si>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</si>
  <si>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</si>
  <si>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</si>
  <si>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</si>
  <si>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</si>
  <si>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</si>
  <si>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Hybrid-RRF2</t>
  </si>
  <si>
    <t xml:space="preserve">RRF-2</t>
  </si>
  <si>
    <t xml:space="preserve">R0194</t>
  </si>
  <si>
    <t xml:space="preserve">R0195</t>
  </si>
  <si>
    <t xml:space="preserve">R0196</t>
  </si>
  <si>
    <t xml:space="preserve">R0197</t>
  </si>
  <si>
    <t xml:space="preserve">Hybrid-CARRF-staticRerank</t>
  </si>
  <si>
    <t xml:space="preserve">static</t>
  </si>
  <si>
    <t xml:space="preserve">R0198</t>
  </si>
  <si>
    <t xml:space="preserve">R0199</t>
  </si>
  <si>
    <t xml:space="preserve">R0200</t>
  </si>
  <si>
    <t xml:space="preserve">R0201</t>
  </si>
  <si>
    <t xml:space="preserve">Hybrid-CARRF-noVecIndex</t>
  </si>
  <si>
    <t xml:space="preserve">R0202</t>
  </si>
  <si>
    <t xml:space="preserve">R0203</t>
  </si>
  <si>
    <t xml:space="preserve">R0204</t>
  </si>
  <si>
    <t xml:space="preserve">R0205</t>
  </si>
  <si>
    <t xml:space="preserve">Hybrid-CARRF-noGrounding</t>
  </si>
  <si>
    <t xml:space="preserve">R0206</t>
  </si>
  <si>
    <t xml:space="preserve">R0207</t>
  </si>
  <si>
    <t xml:space="preserve">R0208</t>
  </si>
  <si>
    <t xml:space="preserve">R0209</t>
  </si>
  <si>
    <t xml:space="preserve">P1</t>
  </si>
  <si>
    <t xml:space="preserve">Qwen-14B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</si>
  <si>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</si>
  <si>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</si>
  <si>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</si>
  <si>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</si>
  <si>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</si>
  <si>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</si>
  <si>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</si>
  <si>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</si>
  <si>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</si>
  <si>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</si>
  <si>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</si>
  <si>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</si>
  <si>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Mistral-24B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</si>
  <si>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</si>
  <si>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</si>
  <si>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</si>
  <si>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</si>
  <si>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</si>
  <si>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</si>
  <si>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</si>
  <si>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</si>
  <si>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</si>
  <si>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</si>
  <si>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</si>
  <si>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</si>
  <si>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BioMed-8B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</si>
  <si>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</si>
  <si>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</si>
  <si>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</si>
  <si>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</si>
  <si>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</si>
  <si>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</si>
  <si>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</si>
  <si>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</si>
  <si>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</si>
  <si>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</si>
  <si>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</si>
  <si>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retrievers</t>
  </si>
  <si>
    <t xml:space="preserve">serves</t>
  </si>
  <si>
    <t xml:space="preserve">type</t>
  </si>
  <si>
    <t xml:space="preserve">none (closed-book)</t>
  </si>
  <si>
    <t xml:space="preserve">Parametric floor</t>
  </si>
  <si>
    <t xml:space="preserve">Baseline</t>
  </si>
  <si>
    <t xml:space="preserve">Lower bound; isolates parametric knowledge.</t>
  </si>
  <si>
    <t xml:space="preserve">BM25 lexical</t>
  </si>
  <si>
    <t xml:space="preserve">Lexical ceiling</t>
  </si>
  <si>
    <t xml:space="preserve">Sparse-only retrieval.</t>
  </si>
  <si>
    <t xml:space="preserve">MedCPT</t>
  </si>
  <si>
    <t xml:space="preserve">Dense ceiling</t>
  </si>
  <si>
    <t xml:space="preserve">Biomedical dense retriever.</t>
  </si>
  <si>
    <t xml:space="preserve">Graph traversal</t>
  </si>
  <si>
    <t xml:space="preserve">Structural selection</t>
  </si>
  <si>
    <t xml:space="preserve">Graph summaries/relations only; compact context.</t>
  </si>
  <si>
    <t xml:space="preserve">Triple-graph + U-Retrieval</t>
  </si>
  <si>
    <t xml:space="preserve">SOTA anchor</t>
  </si>
  <si>
    <t xml:space="preserve">SOTA</t>
  </si>
  <si>
    <t xml:space="preserve">Faithful reproduction; time-boxed (B3).</t>
  </si>
  <si>
    <t xml:space="preserve">BM25 + MedCPT</t>
  </si>
  <si>
    <t xml:space="preserve">Fusion baseline</t>
  </si>
  <si>
    <t xml:space="preserve">Field-default 2-way fusion.</t>
  </si>
  <si>
    <t xml:space="preserve">BM25+Contriever+SPECTER+MedCPT</t>
  </si>
  <si>
    <t xml:space="preserve">Strong baseline</t>
  </si>
  <si>
    <t xml:space="preserve">Field-default 4-way fusion.</t>
  </si>
  <si>
    <t xml:space="preserve">+ Graph + UMLS-concept list</t>
  </si>
  <si>
    <t xml:space="preserve">C2 (concept fusion)</t>
  </si>
  <si>
    <t xml:space="preserve">Contribution</t>
  </si>
  <si>
    <t xml:space="preserve">Concept-overlap as a 1st-class fusion signal.</t>
  </si>
  <si>
    <t xml:space="preserve">+ Concept</t>
  </si>
  <si>
    <t xml:space="preserve">Rerank ablation</t>
  </si>
  <si>
    <t xml:space="preserve">Ablation</t>
  </si>
  <si>
    <t xml:space="preserve">Always-on cross-encoder rerank.</t>
  </si>
  <si>
    <t xml:space="preserve">C3 (adaptive rerank) — HEADLINE</t>
  </si>
  <si>
    <t xml:space="preserve">Per-query gate; cost-aware reranking.</t>
  </si>
  <si>
    <t xml:space="preserve">+ Concept (flat dense)</t>
  </si>
  <si>
    <t xml:space="preserve">Vector-index ablation</t>
  </si>
  <si>
    <t xml:space="preserve">Tests value of the ANN vector index.</t>
  </si>
  <si>
    <t xml:space="preserve">+ Concept (no UMLS)</t>
  </si>
  <si>
    <t xml:space="preserve">Grounding ablation</t>
  </si>
  <si>
    <t xml:space="preserve">Tests value of UMLS grounding.</t>
  </si>
  <si>
    <t xml:space="preserve">name</t>
  </si>
  <si>
    <t xml:space="preserve">source</t>
  </si>
  <si>
    <t xml:space="preserve">role</t>
  </si>
  <si>
    <t xml:space="preserve">metric_focus</t>
  </si>
  <si>
    <t xml:space="preserve">governance</t>
  </si>
  <si>
    <t xml:space="preserve">MMLU clinical subset</t>
  </si>
  <si>
    <t xml:space="preserve">MIRAGE</t>
  </si>
  <si>
    <t xml:space="preserve">MCQ</t>
  </si>
  <si>
    <t xml:space="preserve">Exam-style reasoning</t>
  </si>
  <si>
    <t xml:space="preserve">Generation</t>
  </si>
  <si>
    <t xml:space="preserve">Public</t>
  </si>
  <si>
    <t xml:space="preserve">USMLE 4-option</t>
  </si>
  <si>
    <t xml:space="preserve">Multi-step reasoning</t>
  </si>
  <si>
    <t xml:space="preserve">AIIMS/NEET</t>
  </si>
  <si>
    <t xml:space="preserve">Broad subject coverage</t>
  </si>
  <si>
    <t xml:space="preserve">Reasoning-required</t>
  </si>
  <si>
    <t xml:space="preserve">yes/no/maybe</t>
  </si>
  <si>
    <t xml:space="preserve">Evidence-grounded QA</t>
  </si>
  <si>
    <t xml:space="preserve">Retrieval+Gen</t>
  </si>
  <si>
    <t xml:space="preserve">BioASQ Task B</t>
  </si>
  <si>
    <t xml:space="preserve">yes/no</t>
  </si>
  <si>
    <t xml:space="preserve">Fact verification</t>
  </si>
  <si>
    <t xml:space="preserve">GraphRAG-Bench (medical)</t>
  </si>
  <si>
    <t xml:space="preserve">External</t>
  </si>
  <si>
    <t xml:space="preserve">long-form</t>
  </si>
  <si>
    <t xml:space="preserve">Graph-stress reasoning</t>
  </si>
  <si>
    <t xml:space="preserve">Governance-clean discharge QA</t>
  </si>
  <si>
    <t xml:space="preserve">Own</t>
  </si>
  <si>
    <t xml:space="preserve">Patient multi-span/temporal</t>
  </si>
  <si>
    <t xml:space="preserve">DUA/synthetic — see R1</t>
  </si>
  <si>
    <t xml:space="preserve">Over-refusal / faithfulness slice</t>
  </si>
  <si>
    <t xml:space="preserve">Curated</t>
  </si>
  <si>
    <t xml:space="preserve">mixed</t>
  </si>
  <si>
    <t xml:space="preserve">Safety / grounding guard</t>
  </si>
  <si>
    <t xml:space="preserve">Grounding</t>
  </si>
  <si>
    <t xml:space="preserve">Public/curated</t>
  </si>
  <si>
    <t xml:space="preserve">TOTAL items</t>
  </si>
  <si>
    <t xml:space="preserve">model_id</t>
  </si>
  <si>
    <t xml:space="preserve">provider</t>
  </si>
  <si>
    <t xml:space="preserve">context</t>
  </si>
  <si>
    <t xml:space="preserve">rate $/M (est.)</t>
  </si>
  <si>
    <t xml:space="preserve">meta/llama-3.3-70b-instruct</t>
  </si>
  <si>
    <t xml:space="preserve">NVIDIA NIM (hosted)</t>
  </si>
  <si>
    <t xml:space="preserve">Primary</t>
  </si>
  <si>
    <t xml:space="preserve">128k</t>
  </si>
  <si>
    <t xml:space="preserve">Primary backbone for all main runs.</t>
  </si>
  <si>
    <t xml:space="preserve">Qwen2.5-14B-Instruct</t>
  </si>
  <si>
    <t xml:space="preserve">Local vLLM</t>
  </si>
  <si>
    <t xml:space="preserve">Zoo</t>
  </si>
  <si>
    <t xml:space="preserve">32k</t>
  </si>
  <si>
    <t xml:space="preserve">Mid-size open model (RGD generality).</t>
  </si>
  <si>
    <t xml:space="preserve">Mistral-Small-3 24B</t>
  </si>
  <si>
    <t xml:space="preserve">Alternative family (RGD generality).</t>
  </si>
  <si>
    <t xml:space="preserve">Biomedical-tuned Llama-3.1-8B</t>
  </si>
  <si>
    <t xml:space="preserve">8k</t>
  </si>
  <si>
    <t xml:space="preserve">Domain-tuned contrast (RGD generality).</t>
  </si>
  <si>
    <t xml:space="preserve">metric</t>
  </si>
  <si>
    <t xml:space="preserve">family</t>
  </si>
  <si>
    <t xml:space="preserve">applies_to</t>
  </si>
  <si>
    <t xml:space="preserve">direction</t>
  </si>
  <si>
    <t xml:space="preserve">primary</t>
  </si>
  <si>
    <t xml:space="preserve">how_computed</t>
  </si>
  <si>
    <t xml:space="preserve">Recall@1</t>
  </si>
  <si>
    <t xml:space="preserve">Retrieval</t>
  </si>
  <si>
    <t xml:space="preserve">Retrieval+Gen benchmarks</t>
  </si>
  <si>
    <t xml:space="preserve">Higher</t>
  </si>
  <si>
    <t xml:space="preserve">Gold doc in top-1</t>
  </si>
  <si>
    <t xml:space="preserve">Recall@3</t>
  </si>
  <si>
    <t xml:space="preserve">YES</t>
  </si>
  <si>
    <t xml:space="preserve">Gold doc in top-3</t>
  </si>
  <si>
    <t xml:space="preserve">Recall@5</t>
  </si>
  <si>
    <t xml:space="preserve">Gold doc in top-5</t>
  </si>
  <si>
    <t xml:space="preserve">Recall@10</t>
  </si>
  <si>
    <t xml:space="preserve">Gold doc in top-10</t>
  </si>
  <si>
    <t xml:space="preserve">Precision@3</t>
  </si>
  <si>
    <t xml:space="preserve">Relevant fraction in top-3</t>
  </si>
  <si>
    <t xml:space="preserve">MRR</t>
  </si>
  <si>
    <t xml:space="preserve">Mean reciprocal rank of first gold</t>
  </si>
  <si>
    <t xml:space="preserve">nDCG@10</t>
  </si>
  <si>
    <t xml:space="preserve">Graded ranking quality</t>
  </si>
  <si>
    <t xml:space="preserve">Accuracy</t>
  </si>
  <si>
    <t xml:space="preserve">MCQ / yes-no</t>
  </si>
  <si>
    <t xml:space="preserve">Correct option / label rate</t>
  </si>
  <si>
    <t xml:space="preserve">Exact Match</t>
  </si>
  <si>
    <t xml:space="preserve">All</t>
  </si>
  <si>
    <t xml:space="preserve">Normalized exact answer match (audited)</t>
  </si>
  <si>
    <t xml:space="preserve">Token-F1</t>
  </si>
  <si>
    <t xml:space="preserve">Token overlap F1</t>
  </si>
  <si>
    <t xml:space="preserve">BERTScore-F1</t>
  </si>
  <si>
    <t xml:space="preserve">Long-form</t>
  </si>
  <si>
    <t xml:space="preserve">Semantic similarity to reference</t>
  </si>
  <si>
    <t xml:space="preserve">RAGAS-Faithfulness</t>
  </si>
  <si>
    <t xml:space="preserve">Free-text subset</t>
  </si>
  <si>
    <t xml:space="preserve">Answer supported by retrieved context (real RAGAS)</t>
  </si>
  <si>
    <t xml:space="preserve">RAGAS-AnswerRelevance</t>
  </si>
  <si>
    <t xml:space="preserve">Answer addresses the question</t>
  </si>
  <si>
    <t xml:space="preserve">RAGAS-ContextPrecision</t>
  </si>
  <si>
    <t xml:space="preserve">Useful fraction of retrieved context</t>
  </si>
  <si>
    <t xml:space="preserve">RAGAS-ContextRecall</t>
  </si>
  <si>
    <t xml:space="preserve">Coverage of needed evidence</t>
  </si>
  <si>
    <t xml:space="preserve">Human-Faithfulness</t>
  </si>
  <si>
    <t xml:space="preserve">Human-rated subset</t>
  </si>
  <si>
    <t xml:space="preserve">Clinician/expert rubric (anchor for RAGAS)</t>
  </si>
  <si>
    <t xml:space="preserve">Tokens/query</t>
  </si>
  <si>
    <t xml:space="preserve">Cost</t>
  </si>
  <si>
    <t xml:space="preserve">Lower</t>
  </si>
  <si>
    <t xml:space="preserve">Mean total tokens per query</t>
  </si>
  <si>
    <t xml:space="preserve">Latency-p50 (s)</t>
  </si>
  <si>
    <t xml:space="preserve">Median end-to-end latency</t>
  </si>
  <si>
    <t xml:space="preserve">Latency-p95 (s)</t>
  </si>
  <si>
    <t xml:space="preserve">Tail latency</t>
  </si>
  <si>
    <t xml:space="preserve">USD/1k queries</t>
  </si>
  <si>
    <t xml:space="preserve">Operating cost per 1000 queries</t>
  </si>
  <si>
    <t xml:space="preserve">Statistical protocol</t>
  </si>
  <si>
    <t xml:space="preserve">Parameter</t>
  </si>
  <si>
    <t xml:space="preserve">Value</t>
  </si>
  <si>
    <t xml:space="preserve">Rationale</t>
  </si>
  <si>
    <t xml:space="preserve">Seeds (headline conditions)</t>
  </si>
  <si>
    <t xml:space="preserve">42, 123, 7</t>
  </si>
  <si>
    <t xml:space="preserve">≥3 runs for variance on every main comparison.</t>
  </si>
  <si>
    <t xml:space="preserve">Seeds (ablation / zoo)</t>
  </si>
  <si>
    <t xml:space="preserve">42</t>
  </si>
  <si>
    <t xml:space="preserve">1 seed; extend to 3 if a delta sits near its CI.</t>
  </si>
  <si>
    <t xml:space="preserve">Bootstrap resamples</t>
  </si>
  <si>
    <t xml:space="preserve">10,000</t>
  </si>
  <si>
    <t xml:space="preserve">Per-metric 95% confidence intervals.</t>
  </si>
  <si>
    <t xml:space="preserve">Significance test</t>
  </si>
  <si>
    <t xml:space="preserve">Paired permutation (item-level)</t>
  </si>
  <si>
    <t xml:space="preserve">Same items answered by all systems.</t>
  </si>
  <si>
    <t xml:space="preserve">Permutations</t>
  </si>
  <si>
    <t xml:space="preserve">≥ 100,000</t>
  </si>
  <si>
    <t xml:space="preserve">Avoid the 1/N resolution floor; report EXACT p, never a floor.</t>
  </si>
  <si>
    <t xml:space="preserve">Multiple-comparison correction</t>
  </si>
  <si>
    <t xml:space="preserve">Holm–Bonferroni</t>
  </si>
  <si>
    <t xml:space="preserve">Controls family-wise error across arms.</t>
  </si>
  <si>
    <t xml:space="preserve">Effect size</t>
  </si>
  <si>
    <t xml:space="preserve">Paired Cohen's d / Cliff's delta</t>
  </si>
  <si>
    <t xml:space="preserve">Reported alongside every p-value.</t>
  </si>
  <si>
    <t xml:space="preserve">Alpha</t>
  </si>
  <si>
    <t xml:space="preserve">0.05</t>
  </si>
  <si>
    <t xml:space="preserve">Two-sided.</t>
  </si>
  <si>
    <t xml:space="preserve">CI reported for</t>
  </si>
  <si>
    <t xml:space="preserve">All headline retrieval/gen/grounding metrics</t>
  </si>
  <si>
    <t xml:space="preserve">See Metrics sheet, primary = YES.</t>
  </si>
  <si>
    <t xml:space="preserve">Answer-format audit</t>
  </si>
  <si>
    <t xml:space="preserve">Mandatory before any F1/EM claim</t>
  </si>
  <si>
    <t xml:space="preserve">Resolves the thesis EM 0.00→0.76 anomaly.</t>
  </si>
  <si>
    <t xml:space="preserve">Compute &amp; cost budget (live — recalculates from Run_Manifest)</t>
  </si>
  <si>
    <t xml:space="preserve">All token/cost figures are engineering estimates; rates are per-1M-token blended estimates from the Backbones sheet.</t>
  </si>
  <si>
    <t xml:space="preserve">By phase</t>
  </si>
  <si>
    <t xml:space="preserve">runs</t>
  </si>
  <si>
    <t xml:space="preserve">TOTAL</t>
  </si>
  <si>
    <t xml:space="preserve">With 1.5× rerun buffer</t>
  </si>
  <si>
    <t xml:space="preserve">+ grounding/RAGAS judge (post-hoc, free-text subset): budget ~70M tokens separately.</t>
  </si>
  <si>
    <t xml:space="preserve">By condition</t>
  </si>
  <si>
    <t xml:space="preserve">By backbone</t>
  </si>
  <si>
    <t xml:space="preserve">Live progress (updates as you set Status in Run_Manifest)</t>
  </si>
  <si>
    <t xml:space="preserve">% of total</t>
  </si>
  <si>
    <t xml:space="preserve">Ready</t>
  </si>
  <si>
    <t xml:space="preserve">Running</t>
  </si>
  <si>
    <t xml:space="preserve">Done</t>
  </si>
  <si>
    <t xml:space="preserve">Failed</t>
  </si>
  <si>
    <t xml:space="preserve">Blocked</t>
  </si>
  <si>
    <t xml:space="preserve">Phase gates (go / no-go)</t>
  </si>
  <si>
    <t xml:space="preserve">Gate</t>
  </si>
  <si>
    <t xml:space="preserve">Day</t>
  </si>
  <si>
    <t xml:space="preserve">Exit criteria</t>
  </si>
  <si>
    <t xml:space="preserve">Status</t>
  </si>
  <si>
    <t xml:space="preserve">End P1</t>
  </si>
  <si>
    <t xml:space="preserve">Governance locked (R1); harness validated on smoke set; clean graph build underway.</t>
  </si>
  <si>
    <t xml:space="preserve">End P2</t>
  </si>
  <si>
    <t xml:space="preserve">Baselines + MedGraphRAG reproduced; grounded graph frozen; first RGD signal.</t>
  </si>
  <si>
    <t xml:space="preserve">End P3</t>
  </si>
  <si>
    <t xml:space="preserve">CA-RRF ablation complete with confidence intervals.</t>
  </si>
  <si>
    <t xml:space="preserve">End P4</t>
  </si>
  <si>
    <t xml:space="preserve">CARe gate trained; cost–quality frontier produced; model-zoo runs done.</t>
  </si>
  <si>
    <t xml:space="preserve">End P5</t>
  </si>
  <si>
    <t xml:space="preserve">Full statistics locked; complete draft assembled; reproducibility package built.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</si>
</sst>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\$0.00"/>
    <numFmt numFmtId="168" formatCode="\$#,##0.00"/>
    <numFmt numFmtId="169" formatCode="0.0%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33D"/>
      <name val="Arial"/>
      <family val="0"/>
      <charset val="1"/>
    </font>
    <font>
      <sz val="10.5"/>
      <color rgb="FF1C5670"/>
      <name val="Arial"/>
      <family val="0"/>
      <charset val="1"/>
    </font>
    <font>
      <b val="true"/>
      <sz val="11"/>
      <color rgb="FF1C567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5"/>
      <color rgb="FF12333D"/>
      <name val="Arial"/>
      <family val="0"/>
      <charset val="1"/>
    </font>
    <font>
      <i val="true"/>
      <sz val="9"/>
      <color rgb="FF5A6B72"/>
      <name val="Arial"/>
      <family val="0"/>
      <charset val="1"/>
    </font>
    <font>
      <b val="true"/>
      <sz val="11"/>
      <color rgb="FFC268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5670"/>
        <bgColor rgb="FF12333D"/>
      </patternFill>
    </fill>
    <fill>
      <patternFill patternType="solid">
        <fgColor rgb="FFF4F7F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AC2"/>
      </left>
      <right style="thin">
        <color rgb="FFA6BAC2"/>
      </right>
      <top style="thin">
        <color rgb="FFA6BAC2"/>
      </top>
      <bottom style="thin">
        <color rgb="FFA6BA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C5670"/>
          <bgColor rgb="FF000000"/>
        </patternFill>
      </fill>
    </dxf>
    <dxf>
      <fill>
        <patternFill patternType="solid">
          <fgColor rgb="FFF4F7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12333D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12333D"/>
        <sz val="10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808080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6BAC2"/>
      <rgbColor rgb="FF808080"/>
      <rgbColor rgb="FF9999FF"/>
      <rgbColor rgb="FF993366"/>
      <rgbColor rgb="FFF4F7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2682A"/>
      <rgbColor rgb="FF5A6B72"/>
      <rgbColor rgb="FF9FB4BD"/>
      <rgbColor rgb="FF12333D"/>
      <rgbColor rgb="FF339966"/>
      <rgbColor rgb="FF003300"/>
      <rgbColor rgb="FF333300"/>
      <rgbColor rgb="FF993300"/>
      <rgbColor rgb="FF993366"/>
      <rgbColor rgb="FF1C56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682A"/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37.3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21.75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  <row r="14" customFormat="false" ht="30" hidden="false" customHeight="true" outlineLevel="0" collapsed="false">
      <c r="A14" s="3" t="s">
        <v>22</v>
      </c>
      <c r="B14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5670"/>
    <pageSetUpPr fitToPage="false"/>
  </sheetPr>
  <dimension ref="A1:Y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7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0" min="20" style="0" width="12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22"/>
    <col collapsed="false" customWidth="true" hidden="false" outlineLevel="0" max="24" min="24" style="0" width="16"/>
    <col collapsed="false" customWidth="true" hidden="false" outlineLevel="0" max="25" min="25" style="0" width="26"/>
  </cols>
  <sheetData>
    <row r="1" customFormat="false" ht="23.8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</row>
    <row r="2" customFormat="false" ht="15" hidden="false" customHeight="false" outlineLevel="0" collapsed="false">
      <c r="A2" s="6" t="s">
        <v>49</v>
      </c>
      <c r="B2" s="6" t="s">
        <v>50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n">
        <v>42</v>
      </c>
      <c r="I2" s="6" t="s">
        <v>56</v>
      </c>
      <c r="J2" s="6"/>
      <c r="K2" s="6"/>
      <c r="L2" s="6"/>
      <c r="M2" s="6" t="s">
        <v>57</v>
      </c>
      <c r="N2" s="6" t="s">
        <v>58</v>
      </c>
      <c r="O2" s="6" t="s">
        <v>58</v>
      </c>
      <c r="P2" s="6" t="s">
        <v>57</v>
      </c>
      <c r="Q2" s="7" t="n">
        <f aca="false">VLOOKUP(E2,Conditions!$A$2:$I$13,6,FALSE())</f>
        <v>0.05</v>
      </c>
      <c r="R2" s="8" t="n">
        <f aca="false">VLOOKUP(G2,Benchmarks!$A$2:$I$9,5,FALSE())</f>
        <v>1089</v>
      </c>
      <c r="S2" s="8" t="n">
        <f aca="false">VLOOKUP(G2,Benchmarks!$A$2:$I$9,6,FALSE())</f>
        <v>4500</v>
      </c>
      <c r="T2" s="8" t="n">
        <f aca="false">R2*S2*Q2</f>
        <v>245025</v>
      </c>
      <c r="U2" s="9" t="n">
        <f aca="false">VLOOKUP(F2,Backbones!$A$2:$G$5,6,FALSE())</f>
        <v>0.6</v>
      </c>
      <c r="V2" s="10" t="n">
        <f aca="false">T2/1000000*U2</f>
        <v>0.147015</v>
      </c>
      <c r="W2" s="6" t="s">
        <v>59</v>
      </c>
      <c r="X2" s="6"/>
      <c r="Y2" s="6"/>
    </row>
    <row r="3" customFormat="false" ht="15" hidden="false" customHeight="false" outlineLevel="0" collapsed="false">
      <c r="A3" s="0" t="s">
        <v>60</v>
      </c>
      <c r="B3" s="11" t="s">
        <v>50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n">
        <v>123</v>
      </c>
      <c r="I3" s="11" t="s">
        <v>56</v>
      </c>
      <c r="M3" s="0" t="s">
        <v>57</v>
      </c>
      <c r="N3" s="0" t="s">
        <v>58</v>
      </c>
      <c r="O3" s="0" t="s">
        <v>58</v>
      </c>
      <c r="P3" s="0" t="s">
        <v>57</v>
      </c>
      <c r="Q3" s="12" t="n">
        <f aca="false">VLOOKUP(E3,Conditions!$A$2:$I$13,6,FALSE())</f>
        <v>0.05</v>
      </c>
      <c r="R3" s="13" t="n">
        <f aca="false">VLOOKUP(G3,Benchmarks!$A$2:$I$9,5,FALSE())</f>
        <v>1089</v>
      </c>
      <c r="S3" s="13" t="n">
        <f aca="false">VLOOKUP(G3,Benchmarks!$A$2:$I$9,6,FALSE())</f>
        <v>4500</v>
      </c>
      <c r="T3" s="13" t="n">
        <f aca="false">R3*S3*Q3</f>
        <v>245025</v>
      </c>
      <c r="U3" s="14" t="n">
        <f aca="false">VLOOKUP(F3,Backbones!$A$2:$G$5,6,FALSE())</f>
        <v>0.6</v>
      </c>
      <c r="V3" s="15" t="n">
        <f aca="false">T3/1000000*U3</f>
        <v>0.147015</v>
      </c>
      <c r="W3" s="11" t="s">
        <v>59</v>
      </c>
    </row>
    <row r="4" customFormat="false" ht="15" hidden="false" customHeight="false" outlineLevel="0" collapsed="false">
      <c r="A4" s="6" t="s">
        <v>61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6" t="n">
        <v>7</v>
      </c>
      <c r="I4" s="6" t="s">
        <v>56</v>
      </c>
      <c r="J4" s="6"/>
      <c r="K4" s="6"/>
      <c r="L4" s="6"/>
      <c r="M4" s="6" t="s">
        <v>57</v>
      </c>
      <c r="N4" s="6" t="s">
        <v>58</v>
      </c>
      <c r="O4" s="6" t="s">
        <v>58</v>
      </c>
      <c r="P4" s="6" t="s">
        <v>57</v>
      </c>
      <c r="Q4" s="7" t="n">
        <f aca="false">VLOOKUP(E4,Conditions!$A$2:$I$13,6,FALSE())</f>
        <v>0.05</v>
      </c>
      <c r="R4" s="8" t="n">
        <f aca="false">VLOOKUP(G4,Benchmarks!$A$2:$I$9,5,FALSE())</f>
        <v>1089</v>
      </c>
      <c r="S4" s="8" t="n">
        <f aca="false">VLOOKUP(G4,Benchmarks!$A$2:$I$9,6,FALSE())</f>
        <v>4500</v>
      </c>
      <c r="T4" s="8" t="n">
        <f aca="false">R4*S4*Q4</f>
        <v>245025</v>
      </c>
      <c r="U4" s="9" t="n">
        <f aca="false">VLOOKUP(F4,Backbones!$A$2:$G$5,6,FALSE())</f>
        <v>0.6</v>
      </c>
      <c r="V4" s="10" t="n">
        <f aca="false">T4/1000000*U4</f>
        <v>0.147015</v>
      </c>
      <c r="W4" s="6" t="s">
        <v>59</v>
      </c>
      <c r="X4" s="6"/>
      <c r="Y4" s="6"/>
    </row>
    <row r="5" customFormat="false" ht="15" hidden="false" customHeight="false" outlineLevel="0" collapsed="false">
      <c r="A5" s="0" t="s">
        <v>62</v>
      </c>
      <c r="B5" s="11" t="s">
        <v>50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63</v>
      </c>
      <c r="H5" s="0" t="n">
        <v>42</v>
      </c>
      <c r="I5" s="11" t="s">
        <v>56</v>
      </c>
      <c r="M5" s="0" t="s">
        <v>57</v>
      </c>
      <c r="N5" s="0" t="s">
        <v>58</v>
      </c>
      <c r="O5" s="0" t="s">
        <v>58</v>
      </c>
      <c r="P5" s="0" t="s">
        <v>57</v>
      </c>
      <c r="Q5" s="12" t="n">
        <f aca="false">VLOOKUP(E5,Conditions!$A$2:$I$13,6,FALSE())</f>
        <v>0.05</v>
      </c>
      <c r="R5" s="13" t="n">
        <f aca="false">VLOOKUP(G5,Benchmarks!$A$2:$I$9,5,FALSE())</f>
        <v>1273</v>
      </c>
      <c r="S5" s="13" t="n">
        <f aca="false">VLOOKUP(G5,Benchmarks!$A$2:$I$9,6,FALSE())</f>
        <v>5000</v>
      </c>
      <c r="T5" s="13" t="n">
        <f aca="false">R5*S5*Q5</f>
        <v>318250</v>
      </c>
      <c r="U5" s="14" t="n">
        <f aca="false">VLOOKUP(F5,Backbones!$A$2:$G$5,6,FALSE())</f>
        <v>0.6</v>
      </c>
      <c r="V5" s="15" t="n">
        <f aca="false">T5/1000000*U5</f>
        <v>0.19095</v>
      </c>
      <c r="W5" s="11" t="s">
        <v>59</v>
      </c>
    </row>
    <row r="6" customFormat="false" ht="15" hidden="false" customHeight="false" outlineLevel="0" collapsed="false">
      <c r="A6" s="6" t="s">
        <v>64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63</v>
      </c>
      <c r="H6" s="6" t="n">
        <v>123</v>
      </c>
      <c r="I6" s="6" t="s">
        <v>56</v>
      </c>
      <c r="J6" s="6"/>
      <c r="K6" s="6"/>
      <c r="L6" s="6"/>
      <c r="M6" s="6" t="s">
        <v>57</v>
      </c>
      <c r="N6" s="6" t="s">
        <v>58</v>
      </c>
      <c r="O6" s="6" t="s">
        <v>58</v>
      </c>
      <c r="P6" s="6" t="s">
        <v>57</v>
      </c>
      <c r="Q6" s="7" t="n">
        <f aca="false">VLOOKUP(E6,Conditions!$A$2:$I$13,6,FALSE())</f>
        <v>0.05</v>
      </c>
      <c r="R6" s="8" t="n">
        <f aca="false">VLOOKUP(G6,Benchmarks!$A$2:$I$9,5,FALSE())</f>
        <v>1273</v>
      </c>
      <c r="S6" s="8" t="n">
        <f aca="false">VLOOKUP(G6,Benchmarks!$A$2:$I$9,6,FALSE())</f>
        <v>5000</v>
      </c>
      <c r="T6" s="8" t="n">
        <f aca="false">R6*S6*Q6</f>
        <v>318250</v>
      </c>
      <c r="U6" s="9" t="n">
        <f aca="false">VLOOKUP(F6,Backbones!$A$2:$G$5,6,FALSE())</f>
        <v>0.6</v>
      </c>
      <c r="V6" s="10" t="n">
        <f aca="false">T6/1000000*U6</f>
        <v>0.19095</v>
      </c>
      <c r="W6" s="6" t="s">
        <v>59</v>
      </c>
      <c r="X6" s="6"/>
      <c r="Y6" s="6"/>
    </row>
    <row r="7" customFormat="false" ht="15" hidden="false" customHeight="false" outlineLevel="0" collapsed="false">
      <c r="A7" s="0" t="s">
        <v>65</v>
      </c>
      <c r="B7" s="11" t="s">
        <v>50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63</v>
      </c>
      <c r="H7" s="0" t="n">
        <v>7</v>
      </c>
      <c r="I7" s="11" t="s">
        <v>56</v>
      </c>
      <c r="M7" s="0" t="s">
        <v>57</v>
      </c>
      <c r="N7" s="0" t="s">
        <v>58</v>
      </c>
      <c r="O7" s="0" t="s">
        <v>58</v>
      </c>
      <c r="P7" s="0" t="s">
        <v>57</v>
      </c>
      <c r="Q7" s="12" t="n">
        <f aca="false">VLOOKUP(E7,Conditions!$A$2:$I$13,6,FALSE())</f>
        <v>0.05</v>
      </c>
      <c r="R7" s="13" t="n">
        <f aca="false">VLOOKUP(G7,Benchmarks!$A$2:$I$9,5,FALSE())</f>
        <v>1273</v>
      </c>
      <c r="S7" s="13" t="n">
        <f aca="false">VLOOKUP(G7,Benchmarks!$A$2:$I$9,6,FALSE())</f>
        <v>5000</v>
      </c>
      <c r="T7" s="13" t="n">
        <f aca="false">R7*S7*Q7</f>
        <v>318250</v>
      </c>
      <c r="U7" s="14" t="n">
        <f aca="false">VLOOKUP(F7,Backbones!$A$2:$G$5,6,FALSE())</f>
        <v>0.6</v>
      </c>
      <c r="V7" s="15" t="n">
        <f aca="false">T7/1000000*U7</f>
        <v>0.19095</v>
      </c>
      <c r="W7" s="11" t="s">
        <v>59</v>
      </c>
    </row>
    <row r="8" customFormat="false" ht="15" hidden="false" customHeight="false" outlineLevel="0" collapsed="false">
      <c r="A8" s="6" t="s">
        <v>66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67</v>
      </c>
      <c r="H8" s="6" t="n">
        <v>42</v>
      </c>
      <c r="I8" s="6" t="s">
        <v>56</v>
      </c>
      <c r="J8" s="6"/>
      <c r="K8" s="6"/>
      <c r="L8" s="6"/>
      <c r="M8" s="6" t="s">
        <v>57</v>
      </c>
      <c r="N8" s="6" t="s">
        <v>58</v>
      </c>
      <c r="O8" s="6" t="s">
        <v>58</v>
      </c>
      <c r="P8" s="6" t="s">
        <v>57</v>
      </c>
      <c r="Q8" s="7" t="n">
        <f aca="false">VLOOKUP(E8,Conditions!$A$2:$I$13,6,FALSE())</f>
        <v>0.05</v>
      </c>
      <c r="R8" s="8" t="n">
        <f aca="false">VLOOKUP(G8,Benchmarks!$A$2:$I$9,5,FALSE())</f>
        <v>4183</v>
      </c>
      <c r="S8" s="8" t="n">
        <f aca="false">VLOOKUP(G8,Benchmarks!$A$2:$I$9,6,FALSE())</f>
        <v>4500</v>
      </c>
      <c r="T8" s="8" t="n">
        <f aca="false">R8*S8*Q8</f>
        <v>941175</v>
      </c>
      <c r="U8" s="9" t="n">
        <f aca="false">VLOOKUP(F8,Backbones!$A$2:$G$5,6,FALSE())</f>
        <v>0.6</v>
      </c>
      <c r="V8" s="10" t="n">
        <f aca="false">T8/1000000*U8</f>
        <v>0.564705</v>
      </c>
      <c r="W8" s="6" t="s">
        <v>59</v>
      </c>
      <c r="X8" s="6"/>
      <c r="Y8" s="6"/>
    </row>
    <row r="9" customFormat="false" ht="15" hidden="false" customHeight="false" outlineLevel="0" collapsed="false">
      <c r="A9" s="0" t="s">
        <v>68</v>
      </c>
      <c r="B9" s="11" t="s">
        <v>50</v>
      </c>
      <c r="C9" s="0" t="s">
        <v>51</v>
      </c>
      <c r="D9" s="0" t="s">
        <v>52</v>
      </c>
      <c r="E9" s="0" t="s">
        <v>53</v>
      </c>
      <c r="F9" s="0" t="s">
        <v>54</v>
      </c>
      <c r="G9" s="0" t="s">
        <v>67</v>
      </c>
      <c r="H9" s="0" t="n">
        <v>123</v>
      </c>
      <c r="I9" s="11" t="s">
        <v>56</v>
      </c>
      <c r="M9" s="0" t="s">
        <v>57</v>
      </c>
      <c r="N9" s="0" t="s">
        <v>58</v>
      </c>
      <c r="O9" s="0" t="s">
        <v>58</v>
      </c>
      <c r="P9" s="0" t="s">
        <v>57</v>
      </c>
      <c r="Q9" s="12" t="n">
        <f aca="false">VLOOKUP(E9,Conditions!$A$2:$I$13,6,FALSE())</f>
        <v>0.05</v>
      </c>
      <c r="R9" s="13" t="n">
        <f aca="false">VLOOKUP(G9,Benchmarks!$A$2:$I$9,5,FALSE())</f>
        <v>4183</v>
      </c>
      <c r="S9" s="13" t="n">
        <f aca="false">VLOOKUP(G9,Benchmarks!$A$2:$I$9,6,FALSE())</f>
        <v>4500</v>
      </c>
      <c r="T9" s="13" t="n">
        <f aca="false">R9*S9*Q9</f>
        <v>941175</v>
      </c>
      <c r="U9" s="14" t="n">
        <f aca="false">VLOOKUP(F9,Backbones!$A$2:$G$5,6,FALSE())</f>
        <v>0.6</v>
      </c>
      <c r="V9" s="15" t="n">
        <f aca="false">T9/1000000*U9</f>
        <v>0.564705</v>
      </c>
      <c r="W9" s="11" t="s">
        <v>59</v>
      </c>
    </row>
    <row r="10" customFormat="false" ht="15" hidden="false" customHeight="false" outlineLevel="0" collapsed="false">
      <c r="A10" s="6" t="s">
        <v>69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67</v>
      </c>
      <c r="H10" s="6" t="n">
        <v>7</v>
      </c>
      <c r="I10" s="6" t="s">
        <v>56</v>
      </c>
      <c r="J10" s="6"/>
      <c r="K10" s="6"/>
      <c r="L10" s="6"/>
      <c r="M10" s="6" t="s">
        <v>57</v>
      </c>
      <c r="N10" s="6" t="s">
        <v>58</v>
      </c>
      <c r="O10" s="6" t="s">
        <v>58</v>
      </c>
      <c r="P10" s="6" t="s">
        <v>57</v>
      </c>
      <c r="Q10" s="7" t="n">
        <f aca="false">VLOOKUP(E10,Conditions!$A$2:$I$13,6,FALSE())</f>
        <v>0.05</v>
      </c>
      <c r="R10" s="8" t="n">
        <f aca="false">VLOOKUP(G10,Benchmarks!$A$2:$I$9,5,FALSE())</f>
        <v>4183</v>
      </c>
      <c r="S10" s="8" t="n">
        <f aca="false">VLOOKUP(G10,Benchmarks!$A$2:$I$9,6,FALSE())</f>
        <v>4500</v>
      </c>
      <c r="T10" s="8" t="n">
        <f aca="false">R10*S10*Q10</f>
        <v>941175</v>
      </c>
      <c r="U10" s="9" t="n">
        <f aca="false">VLOOKUP(F10,Backbones!$A$2:$G$5,6,FALSE())</f>
        <v>0.6</v>
      </c>
      <c r="V10" s="10" t="n">
        <f aca="false">T10/1000000*U10</f>
        <v>0.564705</v>
      </c>
      <c r="W10" s="6" t="s">
        <v>59</v>
      </c>
      <c r="X10" s="6"/>
      <c r="Y10" s="6"/>
    </row>
    <row r="11" customFormat="false" ht="15" hidden="false" customHeight="false" outlineLevel="0" collapsed="false">
      <c r="A11" s="0" t="s">
        <v>70</v>
      </c>
      <c r="B11" s="11" t="s">
        <v>50</v>
      </c>
      <c r="C11" s="0" t="s">
        <v>51</v>
      </c>
      <c r="D11" s="0" t="s">
        <v>52</v>
      </c>
      <c r="E11" s="0" t="s">
        <v>53</v>
      </c>
      <c r="F11" s="0" t="s">
        <v>54</v>
      </c>
      <c r="G11" s="0" t="s">
        <v>71</v>
      </c>
      <c r="H11" s="0" t="n">
        <v>42</v>
      </c>
      <c r="I11" s="11" t="s">
        <v>56</v>
      </c>
      <c r="M11" s="0" t="s">
        <v>57</v>
      </c>
      <c r="N11" s="0" t="s">
        <v>58</v>
      </c>
      <c r="O11" s="0" t="s">
        <v>58</v>
      </c>
      <c r="P11" s="0" t="s">
        <v>57</v>
      </c>
      <c r="Q11" s="12" t="n">
        <f aca="false">VLOOKUP(E11,Conditions!$A$2:$I$13,6,FALSE())</f>
        <v>0.05</v>
      </c>
      <c r="R11" s="13" t="n">
        <f aca="false">VLOOKUP(G11,Benchmarks!$A$2:$I$9,5,FALSE())</f>
        <v>500</v>
      </c>
      <c r="S11" s="13" t="n">
        <f aca="false">VLOOKUP(G11,Benchmarks!$A$2:$I$9,6,FALSE())</f>
        <v>5500</v>
      </c>
      <c r="T11" s="13" t="n">
        <f aca="false">R11*S11*Q11</f>
        <v>137500</v>
      </c>
      <c r="U11" s="14" t="n">
        <f aca="false">VLOOKUP(F11,Backbones!$A$2:$G$5,6,FALSE())</f>
        <v>0.6</v>
      </c>
      <c r="V11" s="15" t="n">
        <f aca="false">T11/1000000*U11</f>
        <v>0.0825</v>
      </c>
      <c r="W11" s="11" t="s">
        <v>59</v>
      </c>
    </row>
    <row r="12" customFormat="false" ht="15" hidden="false" customHeight="false" outlineLevel="0" collapsed="false">
      <c r="A12" s="6" t="s">
        <v>72</v>
      </c>
      <c r="B12" s="6" t="s">
        <v>50</v>
      </c>
      <c r="C12" s="6" t="s">
        <v>51</v>
      </c>
      <c r="D12" s="6" t="s">
        <v>52</v>
      </c>
      <c r="E12" s="6" t="s">
        <v>53</v>
      </c>
      <c r="F12" s="6" t="s">
        <v>54</v>
      </c>
      <c r="G12" s="6" t="s">
        <v>71</v>
      </c>
      <c r="H12" s="6" t="n">
        <v>123</v>
      </c>
      <c r="I12" s="6" t="s">
        <v>56</v>
      </c>
      <c r="J12" s="6"/>
      <c r="K12" s="6"/>
      <c r="L12" s="6"/>
      <c r="M12" s="6" t="s">
        <v>57</v>
      </c>
      <c r="N12" s="6" t="s">
        <v>58</v>
      </c>
      <c r="O12" s="6" t="s">
        <v>58</v>
      </c>
      <c r="P12" s="6" t="s">
        <v>57</v>
      </c>
      <c r="Q12" s="7" t="n">
        <f aca="false">VLOOKUP(E12,Conditions!$A$2:$I$13,6,FALSE())</f>
        <v>0.05</v>
      </c>
      <c r="R12" s="8" t="n">
        <f aca="false">VLOOKUP(G12,Benchmarks!$A$2:$I$9,5,FALSE())</f>
        <v>500</v>
      </c>
      <c r="S12" s="8" t="n">
        <f aca="false">VLOOKUP(G12,Benchmarks!$A$2:$I$9,6,FALSE())</f>
        <v>5500</v>
      </c>
      <c r="T12" s="8" t="n">
        <f aca="false">R12*S12*Q12</f>
        <v>137500</v>
      </c>
      <c r="U12" s="9" t="n">
        <f aca="false">VLOOKUP(F12,Backbones!$A$2:$G$5,6,FALSE())</f>
        <v>0.6</v>
      </c>
      <c r="V12" s="10" t="n">
        <f aca="false">T12/1000000*U12</f>
        <v>0.0825</v>
      </c>
      <c r="W12" s="6" t="s">
        <v>59</v>
      </c>
      <c r="X12" s="6"/>
      <c r="Y12" s="6"/>
    </row>
    <row r="13" customFormat="false" ht="15" hidden="false" customHeight="false" outlineLevel="0" collapsed="false">
      <c r="A13" s="0" t="s">
        <v>73</v>
      </c>
      <c r="B13" s="11" t="s">
        <v>50</v>
      </c>
      <c r="C13" s="0" t="s">
        <v>51</v>
      </c>
      <c r="D13" s="0" t="s">
        <v>52</v>
      </c>
      <c r="E13" s="0" t="s">
        <v>53</v>
      </c>
      <c r="F13" s="0" t="s">
        <v>54</v>
      </c>
      <c r="G13" s="0" t="s">
        <v>71</v>
      </c>
      <c r="H13" s="0" t="n">
        <v>7</v>
      </c>
      <c r="I13" s="11" t="s">
        <v>56</v>
      </c>
      <c r="M13" s="0" t="s">
        <v>57</v>
      </c>
      <c r="N13" s="0" t="s">
        <v>58</v>
      </c>
      <c r="O13" s="0" t="s">
        <v>58</v>
      </c>
      <c r="P13" s="0" t="s">
        <v>57</v>
      </c>
      <c r="Q13" s="12" t="n">
        <f aca="false">VLOOKUP(E13,Conditions!$A$2:$I$13,6,FALSE())</f>
        <v>0.05</v>
      </c>
      <c r="R13" s="13" t="n">
        <f aca="false">VLOOKUP(G13,Benchmarks!$A$2:$I$9,5,FALSE())</f>
        <v>500</v>
      </c>
      <c r="S13" s="13" t="n">
        <f aca="false">VLOOKUP(G13,Benchmarks!$A$2:$I$9,6,FALSE())</f>
        <v>5500</v>
      </c>
      <c r="T13" s="13" t="n">
        <f aca="false">R13*S13*Q13</f>
        <v>137500</v>
      </c>
      <c r="U13" s="14" t="n">
        <f aca="false">VLOOKUP(F13,Backbones!$A$2:$G$5,6,FALSE())</f>
        <v>0.6</v>
      </c>
      <c r="V13" s="15" t="n">
        <f aca="false">T13/1000000*U13</f>
        <v>0.0825</v>
      </c>
      <c r="W13" s="11" t="s">
        <v>59</v>
      </c>
    </row>
    <row r="14" customFormat="false" ht="15" hidden="false" customHeight="false" outlineLevel="0" collapsed="false">
      <c r="A14" s="6" t="s">
        <v>74</v>
      </c>
      <c r="B14" s="6" t="s">
        <v>50</v>
      </c>
      <c r="C14" s="6" t="s">
        <v>51</v>
      </c>
      <c r="D14" s="6" t="s">
        <v>52</v>
      </c>
      <c r="E14" s="6" t="s">
        <v>53</v>
      </c>
      <c r="F14" s="6" t="s">
        <v>54</v>
      </c>
      <c r="G14" s="6" t="s">
        <v>75</v>
      </c>
      <c r="H14" s="6" t="n">
        <v>42</v>
      </c>
      <c r="I14" s="6" t="s">
        <v>56</v>
      </c>
      <c r="J14" s="6"/>
      <c r="K14" s="6"/>
      <c r="L14" s="6"/>
      <c r="M14" s="6" t="s">
        <v>57</v>
      </c>
      <c r="N14" s="6" t="s">
        <v>58</v>
      </c>
      <c r="O14" s="6" t="s">
        <v>58</v>
      </c>
      <c r="P14" s="6" t="s">
        <v>57</v>
      </c>
      <c r="Q14" s="7" t="n">
        <f aca="false">VLOOKUP(E14,Conditions!$A$2:$I$13,6,FALSE())</f>
        <v>0.05</v>
      </c>
      <c r="R14" s="8" t="n">
        <f aca="false">VLOOKUP(G14,Benchmarks!$A$2:$I$9,5,FALSE())</f>
        <v>618</v>
      </c>
      <c r="S14" s="8" t="n">
        <f aca="false">VLOOKUP(G14,Benchmarks!$A$2:$I$9,6,FALSE())</f>
        <v>5000</v>
      </c>
      <c r="T14" s="8" t="n">
        <f aca="false">R14*S14*Q14</f>
        <v>154500</v>
      </c>
      <c r="U14" s="9" t="n">
        <f aca="false">VLOOKUP(F14,Backbones!$A$2:$G$5,6,FALSE())</f>
        <v>0.6</v>
      </c>
      <c r="V14" s="10" t="n">
        <f aca="false">T14/1000000*U14</f>
        <v>0.0927</v>
      </c>
      <c r="W14" s="6" t="s">
        <v>59</v>
      </c>
      <c r="X14" s="6"/>
      <c r="Y14" s="6"/>
    </row>
    <row r="15" customFormat="false" ht="15" hidden="false" customHeight="false" outlineLevel="0" collapsed="false">
      <c r="A15" s="0" t="s">
        <v>76</v>
      </c>
      <c r="B15" s="11" t="s">
        <v>50</v>
      </c>
      <c r="C15" s="0" t="s">
        <v>51</v>
      </c>
      <c r="D15" s="0" t="s">
        <v>52</v>
      </c>
      <c r="E15" s="0" t="s">
        <v>53</v>
      </c>
      <c r="F15" s="0" t="s">
        <v>54</v>
      </c>
      <c r="G15" s="0" t="s">
        <v>75</v>
      </c>
      <c r="H15" s="0" t="n">
        <v>123</v>
      </c>
      <c r="I15" s="11" t="s">
        <v>56</v>
      </c>
      <c r="M15" s="0" t="s">
        <v>57</v>
      </c>
      <c r="N15" s="0" t="s">
        <v>58</v>
      </c>
      <c r="O15" s="0" t="s">
        <v>58</v>
      </c>
      <c r="P15" s="0" t="s">
        <v>57</v>
      </c>
      <c r="Q15" s="12" t="n">
        <f aca="false">VLOOKUP(E15,Conditions!$A$2:$I$13,6,FALSE())</f>
        <v>0.05</v>
      </c>
      <c r="R15" s="13" t="n">
        <f aca="false">VLOOKUP(G15,Benchmarks!$A$2:$I$9,5,FALSE())</f>
        <v>618</v>
      </c>
      <c r="S15" s="13" t="n">
        <f aca="false">VLOOKUP(G15,Benchmarks!$A$2:$I$9,6,FALSE())</f>
        <v>5000</v>
      </c>
      <c r="T15" s="13" t="n">
        <f aca="false">R15*S15*Q15</f>
        <v>154500</v>
      </c>
      <c r="U15" s="14" t="n">
        <f aca="false">VLOOKUP(F15,Backbones!$A$2:$G$5,6,FALSE())</f>
        <v>0.6</v>
      </c>
      <c r="V15" s="15" t="n">
        <f aca="false">T15/1000000*U15</f>
        <v>0.0927</v>
      </c>
      <c r="W15" s="11" t="s">
        <v>59</v>
      </c>
    </row>
    <row r="16" customFormat="false" ht="15" hidden="false" customHeight="false" outlineLevel="0" collapsed="false">
      <c r="A16" s="6" t="s">
        <v>77</v>
      </c>
      <c r="B16" s="6" t="s">
        <v>50</v>
      </c>
      <c r="C16" s="6" t="s">
        <v>51</v>
      </c>
      <c r="D16" s="6" t="s">
        <v>52</v>
      </c>
      <c r="E16" s="6" t="s">
        <v>53</v>
      </c>
      <c r="F16" s="6" t="s">
        <v>54</v>
      </c>
      <c r="G16" s="6" t="s">
        <v>75</v>
      </c>
      <c r="H16" s="6" t="n">
        <v>7</v>
      </c>
      <c r="I16" s="6" t="s">
        <v>56</v>
      </c>
      <c r="J16" s="6"/>
      <c r="K16" s="6"/>
      <c r="L16" s="6"/>
      <c r="M16" s="6" t="s">
        <v>57</v>
      </c>
      <c r="N16" s="6" t="s">
        <v>58</v>
      </c>
      <c r="O16" s="6" t="s">
        <v>58</v>
      </c>
      <c r="P16" s="6" t="s">
        <v>57</v>
      </c>
      <c r="Q16" s="7" t="n">
        <f aca="false">VLOOKUP(E16,Conditions!$A$2:$I$13,6,FALSE())</f>
        <v>0.05</v>
      </c>
      <c r="R16" s="8" t="n">
        <f aca="false">VLOOKUP(G16,Benchmarks!$A$2:$I$9,5,FALSE())</f>
        <v>618</v>
      </c>
      <c r="S16" s="8" t="n">
        <f aca="false">VLOOKUP(G16,Benchmarks!$A$2:$I$9,6,FALSE())</f>
        <v>5000</v>
      </c>
      <c r="T16" s="8" t="n">
        <f aca="false">R16*S16*Q16</f>
        <v>154500</v>
      </c>
      <c r="U16" s="9" t="n">
        <f aca="false">VLOOKUP(F16,Backbones!$A$2:$G$5,6,FALSE())</f>
        <v>0.6</v>
      </c>
      <c r="V16" s="10" t="n">
        <f aca="false">T16/1000000*U16</f>
        <v>0.0927</v>
      </c>
      <c r="W16" s="6" t="s">
        <v>59</v>
      </c>
      <c r="X16" s="6"/>
      <c r="Y16" s="6"/>
    </row>
    <row r="17" customFormat="false" ht="15" hidden="false" customHeight="false" outlineLevel="0" collapsed="false">
      <c r="A17" s="0" t="s">
        <v>78</v>
      </c>
      <c r="B17" s="11" t="s">
        <v>50</v>
      </c>
      <c r="C17" s="0" t="s">
        <v>51</v>
      </c>
      <c r="D17" s="0" t="s">
        <v>52</v>
      </c>
      <c r="E17" s="0" t="s">
        <v>53</v>
      </c>
      <c r="F17" s="0" t="s">
        <v>54</v>
      </c>
      <c r="G17" s="0" t="s">
        <v>79</v>
      </c>
      <c r="H17" s="0" t="n">
        <v>42</v>
      </c>
      <c r="I17" s="11" t="s">
        <v>56</v>
      </c>
      <c r="M17" s="0" t="s">
        <v>57</v>
      </c>
      <c r="N17" s="0" t="s">
        <v>58</v>
      </c>
      <c r="O17" s="0" t="s">
        <v>58</v>
      </c>
      <c r="P17" s="0" t="s">
        <v>57</v>
      </c>
      <c r="Q17" s="12" t="n">
        <f aca="false">VLOOKUP(E17,Conditions!$A$2:$I$13,6,FALSE())</f>
        <v>0.05</v>
      </c>
      <c r="R17" s="13" t="n">
        <f aca="false">VLOOKUP(G17,Benchmarks!$A$2:$I$9,5,FALSE())</f>
        <v>50</v>
      </c>
      <c r="S17" s="13" t="n">
        <f aca="false">VLOOKUP(G17,Benchmarks!$A$2:$I$9,6,FALSE())</f>
        <v>8000</v>
      </c>
      <c r="T17" s="13" t="n">
        <f aca="false">R17*S17*Q17</f>
        <v>20000</v>
      </c>
      <c r="U17" s="14" t="n">
        <f aca="false">VLOOKUP(F17,Backbones!$A$2:$G$5,6,FALSE())</f>
        <v>0.6</v>
      </c>
      <c r="V17" s="15" t="n">
        <f aca="false">T17/1000000*U17</f>
        <v>0.012</v>
      </c>
      <c r="W17" s="11" t="s">
        <v>59</v>
      </c>
    </row>
    <row r="18" customFormat="false" ht="15" hidden="false" customHeight="false" outlineLevel="0" collapsed="false">
      <c r="A18" s="6" t="s">
        <v>80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79</v>
      </c>
      <c r="H18" s="6" t="n">
        <v>123</v>
      </c>
      <c r="I18" s="6" t="s">
        <v>56</v>
      </c>
      <c r="J18" s="6"/>
      <c r="K18" s="6"/>
      <c r="L18" s="6"/>
      <c r="M18" s="6" t="s">
        <v>57</v>
      </c>
      <c r="N18" s="6" t="s">
        <v>58</v>
      </c>
      <c r="O18" s="6" t="s">
        <v>58</v>
      </c>
      <c r="P18" s="6" t="s">
        <v>57</v>
      </c>
      <c r="Q18" s="7" t="n">
        <f aca="false">VLOOKUP(E18,Conditions!$A$2:$I$13,6,FALSE())</f>
        <v>0.05</v>
      </c>
      <c r="R18" s="8" t="n">
        <f aca="false">VLOOKUP(G18,Benchmarks!$A$2:$I$9,5,FALSE())</f>
        <v>50</v>
      </c>
      <c r="S18" s="8" t="n">
        <f aca="false">VLOOKUP(G18,Benchmarks!$A$2:$I$9,6,FALSE())</f>
        <v>8000</v>
      </c>
      <c r="T18" s="8" t="n">
        <f aca="false">R18*S18*Q18</f>
        <v>20000</v>
      </c>
      <c r="U18" s="9" t="n">
        <f aca="false">VLOOKUP(F18,Backbones!$A$2:$G$5,6,FALSE())</f>
        <v>0.6</v>
      </c>
      <c r="V18" s="10" t="n">
        <f aca="false">T18/1000000*U18</f>
        <v>0.012</v>
      </c>
      <c r="W18" s="6" t="s">
        <v>59</v>
      </c>
      <c r="X18" s="6"/>
      <c r="Y18" s="6"/>
    </row>
    <row r="19" customFormat="false" ht="15" hidden="false" customHeight="false" outlineLevel="0" collapsed="false">
      <c r="A19" s="0" t="s">
        <v>81</v>
      </c>
      <c r="B19" s="11" t="s">
        <v>50</v>
      </c>
      <c r="C19" s="0" t="s">
        <v>51</v>
      </c>
      <c r="D19" s="0" t="s">
        <v>52</v>
      </c>
      <c r="E19" s="0" t="s">
        <v>53</v>
      </c>
      <c r="F19" s="0" t="s">
        <v>54</v>
      </c>
      <c r="G19" s="0" t="s">
        <v>79</v>
      </c>
      <c r="H19" s="0" t="n">
        <v>7</v>
      </c>
      <c r="I19" s="11" t="s">
        <v>56</v>
      </c>
      <c r="M19" s="0" t="s">
        <v>57</v>
      </c>
      <c r="N19" s="0" t="s">
        <v>58</v>
      </c>
      <c r="O19" s="0" t="s">
        <v>58</v>
      </c>
      <c r="P19" s="0" t="s">
        <v>57</v>
      </c>
      <c r="Q19" s="12" t="n">
        <f aca="false">VLOOKUP(E19,Conditions!$A$2:$I$13,6,FALSE())</f>
        <v>0.05</v>
      </c>
      <c r="R19" s="13" t="n">
        <f aca="false">VLOOKUP(G19,Benchmarks!$A$2:$I$9,5,FALSE())</f>
        <v>50</v>
      </c>
      <c r="S19" s="13" t="n">
        <f aca="false">VLOOKUP(G19,Benchmarks!$A$2:$I$9,6,FALSE())</f>
        <v>8000</v>
      </c>
      <c r="T19" s="13" t="n">
        <f aca="false">R19*S19*Q19</f>
        <v>20000</v>
      </c>
      <c r="U19" s="14" t="n">
        <f aca="false">VLOOKUP(F19,Backbones!$A$2:$G$5,6,FALSE())</f>
        <v>0.6</v>
      </c>
      <c r="V19" s="15" t="n">
        <f aca="false">T19/1000000*U19</f>
        <v>0.012</v>
      </c>
      <c r="W19" s="11" t="s">
        <v>59</v>
      </c>
    </row>
    <row r="20" customFormat="false" ht="15" hidden="false" customHeight="false" outlineLevel="0" collapsed="false">
      <c r="A20" s="6" t="s">
        <v>82</v>
      </c>
      <c r="B20" s="6" t="s">
        <v>50</v>
      </c>
      <c r="C20" s="6" t="s">
        <v>51</v>
      </c>
      <c r="D20" s="6" t="s">
        <v>52</v>
      </c>
      <c r="E20" s="6" t="s">
        <v>53</v>
      </c>
      <c r="F20" s="6" t="s">
        <v>54</v>
      </c>
      <c r="G20" s="6" t="s">
        <v>83</v>
      </c>
      <c r="H20" s="6" t="n">
        <v>42</v>
      </c>
      <c r="I20" s="6" t="s">
        <v>56</v>
      </c>
      <c r="J20" s="6"/>
      <c r="K20" s="6"/>
      <c r="L20" s="6"/>
      <c r="M20" s="6" t="s">
        <v>57</v>
      </c>
      <c r="N20" s="6" t="s">
        <v>58</v>
      </c>
      <c r="O20" s="6" t="s">
        <v>58</v>
      </c>
      <c r="P20" s="6" t="s">
        <v>57</v>
      </c>
      <c r="Q20" s="7" t="n">
        <f aca="false">VLOOKUP(E20,Conditions!$A$2:$I$13,6,FALSE())</f>
        <v>0.05</v>
      </c>
      <c r="R20" s="8" t="n">
        <f aca="false">VLOOKUP(G20,Benchmarks!$A$2:$I$9,5,FALSE())</f>
        <v>200</v>
      </c>
      <c r="S20" s="8" t="n">
        <f aca="false">VLOOKUP(G20,Benchmarks!$A$2:$I$9,6,FALSE())</f>
        <v>8000</v>
      </c>
      <c r="T20" s="8" t="n">
        <f aca="false">R20*S20*Q20</f>
        <v>80000</v>
      </c>
      <c r="U20" s="9" t="n">
        <f aca="false">VLOOKUP(F20,Backbones!$A$2:$G$5,6,FALSE())</f>
        <v>0.6</v>
      </c>
      <c r="V20" s="10" t="n">
        <f aca="false">T20/1000000*U20</f>
        <v>0.048</v>
      </c>
      <c r="W20" s="6" t="s">
        <v>59</v>
      </c>
      <c r="X20" s="6"/>
      <c r="Y20" s="6"/>
    </row>
    <row r="21" customFormat="false" ht="15" hidden="false" customHeight="false" outlineLevel="0" collapsed="false">
      <c r="A21" s="0" t="s">
        <v>84</v>
      </c>
      <c r="B21" s="11" t="s">
        <v>50</v>
      </c>
      <c r="C21" s="0" t="s">
        <v>51</v>
      </c>
      <c r="D21" s="0" t="s">
        <v>52</v>
      </c>
      <c r="E21" s="0" t="s">
        <v>53</v>
      </c>
      <c r="F21" s="0" t="s">
        <v>54</v>
      </c>
      <c r="G21" s="0" t="s">
        <v>83</v>
      </c>
      <c r="H21" s="0" t="n">
        <v>123</v>
      </c>
      <c r="I21" s="11" t="s">
        <v>56</v>
      </c>
      <c r="M21" s="0" t="s">
        <v>57</v>
      </c>
      <c r="N21" s="0" t="s">
        <v>58</v>
      </c>
      <c r="O21" s="0" t="s">
        <v>58</v>
      </c>
      <c r="P21" s="0" t="s">
        <v>57</v>
      </c>
      <c r="Q21" s="12" t="n">
        <f aca="false">VLOOKUP(E21,Conditions!$A$2:$I$13,6,FALSE())</f>
        <v>0.05</v>
      </c>
      <c r="R21" s="13" t="n">
        <f aca="false">VLOOKUP(G21,Benchmarks!$A$2:$I$9,5,FALSE())</f>
        <v>200</v>
      </c>
      <c r="S21" s="13" t="n">
        <f aca="false">VLOOKUP(G21,Benchmarks!$A$2:$I$9,6,FALSE())</f>
        <v>8000</v>
      </c>
      <c r="T21" s="13" t="n">
        <f aca="false">R21*S21*Q21</f>
        <v>80000</v>
      </c>
      <c r="U21" s="14" t="n">
        <f aca="false">VLOOKUP(F21,Backbones!$A$2:$G$5,6,FALSE())</f>
        <v>0.6</v>
      </c>
      <c r="V21" s="15" t="n">
        <f aca="false">T21/1000000*U21</f>
        <v>0.048</v>
      </c>
      <c r="W21" s="11" t="s">
        <v>59</v>
      </c>
    </row>
    <row r="22" customFormat="false" ht="15" hidden="false" customHeight="false" outlineLevel="0" collapsed="false">
      <c r="A22" s="6" t="s">
        <v>85</v>
      </c>
      <c r="B22" s="6" t="s">
        <v>50</v>
      </c>
      <c r="C22" s="6" t="s">
        <v>51</v>
      </c>
      <c r="D22" s="6" t="s">
        <v>52</v>
      </c>
      <c r="E22" s="6" t="s">
        <v>53</v>
      </c>
      <c r="F22" s="6" t="s">
        <v>54</v>
      </c>
      <c r="G22" s="6" t="s">
        <v>83</v>
      </c>
      <c r="H22" s="6" t="n">
        <v>7</v>
      </c>
      <c r="I22" s="6" t="s">
        <v>56</v>
      </c>
      <c r="J22" s="6"/>
      <c r="K22" s="6"/>
      <c r="L22" s="6"/>
      <c r="M22" s="6" t="s">
        <v>57</v>
      </c>
      <c r="N22" s="6" t="s">
        <v>58</v>
      </c>
      <c r="O22" s="6" t="s">
        <v>58</v>
      </c>
      <c r="P22" s="6" t="s">
        <v>57</v>
      </c>
      <c r="Q22" s="7" t="n">
        <f aca="false">VLOOKUP(E22,Conditions!$A$2:$I$13,6,FALSE())</f>
        <v>0.05</v>
      </c>
      <c r="R22" s="8" t="n">
        <f aca="false">VLOOKUP(G22,Benchmarks!$A$2:$I$9,5,FALSE())</f>
        <v>200</v>
      </c>
      <c r="S22" s="8" t="n">
        <f aca="false">VLOOKUP(G22,Benchmarks!$A$2:$I$9,6,FALSE())</f>
        <v>8000</v>
      </c>
      <c r="T22" s="8" t="n">
        <f aca="false">R22*S22*Q22</f>
        <v>80000</v>
      </c>
      <c r="U22" s="9" t="n">
        <f aca="false">VLOOKUP(F22,Backbones!$A$2:$G$5,6,FALSE())</f>
        <v>0.6</v>
      </c>
      <c r="V22" s="10" t="n">
        <f aca="false">T22/1000000*U22</f>
        <v>0.048</v>
      </c>
      <c r="W22" s="6" t="s">
        <v>59</v>
      </c>
      <c r="X22" s="6"/>
      <c r="Y22" s="6"/>
    </row>
    <row r="23" customFormat="false" ht="15" hidden="false" customHeight="false" outlineLevel="0" collapsed="false">
      <c r="A23" s="0" t="s">
        <v>86</v>
      </c>
      <c r="B23" s="11" t="s">
        <v>50</v>
      </c>
      <c r="C23" s="0" t="s">
        <v>51</v>
      </c>
      <c r="D23" s="0" t="s">
        <v>52</v>
      </c>
      <c r="E23" s="0" t="s">
        <v>53</v>
      </c>
      <c r="F23" s="0" t="s">
        <v>54</v>
      </c>
      <c r="G23" s="0" t="s">
        <v>87</v>
      </c>
      <c r="H23" s="0" t="n">
        <v>42</v>
      </c>
      <c r="I23" s="11" t="s">
        <v>56</v>
      </c>
      <c r="M23" s="0" t="s">
        <v>57</v>
      </c>
      <c r="N23" s="0" t="s">
        <v>58</v>
      </c>
      <c r="O23" s="0" t="s">
        <v>58</v>
      </c>
      <c r="P23" s="0" t="s">
        <v>57</v>
      </c>
      <c r="Q23" s="12" t="n">
        <f aca="false">VLOOKUP(E23,Conditions!$A$2:$I$13,6,FALSE())</f>
        <v>0.05</v>
      </c>
      <c r="R23" s="13" t="n">
        <f aca="false">VLOOKUP(G23,Benchmarks!$A$2:$I$9,5,FALSE())</f>
        <v>150</v>
      </c>
      <c r="S23" s="13" t="n">
        <f aca="false">VLOOKUP(G23,Benchmarks!$A$2:$I$9,6,FALSE())</f>
        <v>6000</v>
      </c>
      <c r="T23" s="13" t="n">
        <f aca="false">R23*S23*Q23</f>
        <v>45000</v>
      </c>
      <c r="U23" s="14" t="n">
        <f aca="false">VLOOKUP(F23,Backbones!$A$2:$G$5,6,FALSE())</f>
        <v>0.6</v>
      </c>
      <c r="V23" s="15" t="n">
        <f aca="false">T23/1000000*U23</f>
        <v>0.027</v>
      </c>
      <c r="W23" s="11" t="s">
        <v>59</v>
      </c>
    </row>
    <row r="24" customFormat="false" ht="15" hidden="false" customHeight="false" outlineLevel="0" collapsed="false">
      <c r="A24" s="6" t="s">
        <v>88</v>
      </c>
      <c r="B24" s="6" t="s">
        <v>50</v>
      </c>
      <c r="C24" s="6" t="s">
        <v>51</v>
      </c>
      <c r="D24" s="6" t="s">
        <v>52</v>
      </c>
      <c r="E24" s="6" t="s">
        <v>53</v>
      </c>
      <c r="F24" s="6" t="s">
        <v>54</v>
      </c>
      <c r="G24" s="6" t="s">
        <v>87</v>
      </c>
      <c r="H24" s="6" t="n">
        <v>123</v>
      </c>
      <c r="I24" s="6" t="s">
        <v>56</v>
      </c>
      <c r="J24" s="6"/>
      <c r="K24" s="6"/>
      <c r="L24" s="6"/>
      <c r="M24" s="6" t="s">
        <v>57</v>
      </c>
      <c r="N24" s="6" t="s">
        <v>58</v>
      </c>
      <c r="O24" s="6" t="s">
        <v>58</v>
      </c>
      <c r="P24" s="6" t="s">
        <v>57</v>
      </c>
      <c r="Q24" s="7" t="n">
        <f aca="false">VLOOKUP(E24,Conditions!$A$2:$I$13,6,FALSE())</f>
        <v>0.05</v>
      </c>
      <c r="R24" s="8" t="n">
        <f aca="false">VLOOKUP(G24,Benchmarks!$A$2:$I$9,5,FALSE())</f>
        <v>150</v>
      </c>
      <c r="S24" s="8" t="n">
        <f aca="false">VLOOKUP(G24,Benchmarks!$A$2:$I$9,6,FALSE())</f>
        <v>6000</v>
      </c>
      <c r="T24" s="8" t="n">
        <f aca="false">R24*S24*Q24</f>
        <v>45000</v>
      </c>
      <c r="U24" s="9" t="n">
        <f aca="false">VLOOKUP(F24,Backbones!$A$2:$G$5,6,FALSE())</f>
        <v>0.6</v>
      </c>
      <c r="V24" s="10" t="n">
        <f aca="false">T24/1000000*U24</f>
        <v>0.027</v>
      </c>
      <c r="W24" s="6" t="s">
        <v>59</v>
      </c>
      <c r="X24" s="6"/>
      <c r="Y24" s="6"/>
    </row>
    <row r="25" customFormat="false" ht="15" hidden="false" customHeight="false" outlineLevel="0" collapsed="false">
      <c r="A25" s="0" t="s">
        <v>89</v>
      </c>
      <c r="B25" s="11" t="s">
        <v>50</v>
      </c>
      <c r="C25" s="0" t="s">
        <v>51</v>
      </c>
      <c r="D25" s="0" t="s">
        <v>52</v>
      </c>
      <c r="E25" s="0" t="s">
        <v>53</v>
      </c>
      <c r="F25" s="0" t="s">
        <v>54</v>
      </c>
      <c r="G25" s="0" t="s">
        <v>87</v>
      </c>
      <c r="H25" s="0" t="n">
        <v>7</v>
      </c>
      <c r="I25" s="11" t="s">
        <v>56</v>
      </c>
      <c r="M25" s="0" t="s">
        <v>57</v>
      </c>
      <c r="N25" s="0" t="s">
        <v>58</v>
      </c>
      <c r="O25" s="0" t="s">
        <v>58</v>
      </c>
      <c r="P25" s="0" t="s">
        <v>57</v>
      </c>
      <c r="Q25" s="12" t="n">
        <f aca="false">VLOOKUP(E25,Conditions!$A$2:$I$13,6,FALSE())</f>
        <v>0.05</v>
      </c>
      <c r="R25" s="13" t="n">
        <f aca="false">VLOOKUP(G25,Benchmarks!$A$2:$I$9,5,FALSE())</f>
        <v>150</v>
      </c>
      <c r="S25" s="13" t="n">
        <f aca="false">VLOOKUP(G25,Benchmarks!$A$2:$I$9,6,FALSE())</f>
        <v>6000</v>
      </c>
      <c r="T25" s="13" t="n">
        <f aca="false">R25*S25*Q25</f>
        <v>45000</v>
      </c>
      <c r="U25" s="14" t="n">
        <f aca="false">VLOOKUP(F25,Backbones!$A$2:$G$5,6,FALSE())</f>
        <v>0.6</v>
      </c>
      <c r="V25" s="15" t="n">
        <f aca="false">T25/1000000*U25</f>
        <v>0.027</v>
      </c>
      <c r="W25" s="11" t="s">
        <v>59</v>
      </c>
    </row>
    <row r="26" customFormat="false" ht="15" hidden="false" customHeight="false" outlineLevel="0" collapsed="false">
      <c r="A26" s="6" t="s">
        <v>90</v>
      </c>
      <c r="B26" s="6" t="s">
        <v>50</v>
      </c>
      <c r="C26" s="6" t="s">
        <v>51</v>
      </c>
      <c r="D26" s="6" t="s">
        <v>52</v>
      </c>
      <c r="E26" s="6" t="s">
        <v>91</v>
      </c>
      <c r="F26" s="6" t="s">
        <v>54</v>
      </c>
      <c r="G26" s="6" t="s">
        <v>55</v>
      </c>
      <c r="H26" s="6" t="n">
        <v>42</v>
      </c>
      <c r="I26" s="6" t="s">
        <v>56</v>
      </c>
      <c r="J26" s="6"/>
      <c r="K26" s="6"/>
      <c r="L26" s="6"/>
      <c r="M26" s="6" t="s">
        <v>57</v>
      </c>
      <c r="N26" s="6" t="s">
        <v>58</v>
      </c>
      <c r="O26" s="6" t="s">
        <v>58</v>
      </c>
      <c r="P26" s="6" t="s">
        <v>92</v>
      </c>
      <c r="Q26" s="7" t="n">
        <f aca="false">VLOOKUP(E26,Conditions!$A$2:$I$13,6,FALSE())</f>
        <v>0.9</v>
      </c>
      <c r="R26" s="8" t="n">
        <f aca="false">VLOOKUP(G26,Benchmarks!$A$2:$I$9,5,FALSE())</f>
        <v>1089</v>
      </c>
      <c r="S26" s="8" t="n">
        <f aca="false">VLOOKUP(G26,Benchmarks!$A$2:$I$9,6,FALSE())</f>
        <v>4500</v>
      </c>
      <c r="T26" s="8" t="n">
        <f aca="false">R26*S26*Q26</f>
        <v>4410450</v>
      </c>
      <c r="U26" s="9" t="n">
        <f aca="false">VLOOKUP(F26,Backbones!$A$2:$G$5,6,FALSE())</f>
        <v>0.6</v>
      </c>
      <c r="V26" s="10" t="n">
        <f aca="false">T26/1000000*U26</f>
        <v>2.64627</v>
      </c>
      <c r="W26" s="6" t="s">
        <v>59</v>
      </c>
      <c r="X26" s="6"/>
      <c r="Y26" s="6"/>
    </row>
    <row r="27" customFormat="false" ht="15" hidden="false" customHeight="false" outlineLevel="0" collapsed="false">
      <c r="A27" s="0" t="s">
        <v>93</v>
      </c>
      <c r="B27" s="11" t="s">
        <v>50</v>
      </c>
      <c r="C27" s="0" t="s">
        <v>51</v>
      </c>
      <c r="D27" s="0" t="s">
        <v>52</v>
      </c>
      <c r="E27" s="0" t="s">
        <v>91</v>
      </c>
      <c r="F27" s="0" t="s">
        <v>54</v>
      </c>
      <c r="G27" s="0" t="s">
        <v>55</v>
      </c>
      <c r="H27" s="0" t="n">
        <v>123</v>
      </c>
      <c r="I27" s="11" t="s">
        <v>56</v>
      </c>
      <c r="M27" s="0" t="s">
        <v>57</v>
      </c>
      <c r="N27" s="0" t="s">
        <v>58</v>
      </c>
      <c r="O27" s="0" t="s">
        <v>58</v>
      </c>
      <c r="P27" s="0" t="s">
        <v>92</v>
      </c>
      <c r="Q27" s="12" t="n">
        <f aca="false">VLOOKUP(E27,Conditions!$A$2:$I$13,6,FALSE())</f>
        <v>0.9</v>
      </c>
      <c r="R27" s="13" t="n">
        <f aca="false">VLOOKUP(G27,Benchmarks!$A$2:$I$9,5,FALSE())</f>
        <v>1089</v>
      </c>
      <c r="S27" s="13" t="n">
        <f aca="false">VLOOKUP(G27,Benchmarks!$A$2:$I$9,6,FALSE())</f>
        <v>4500</v>
      </c>
      <c r="T27" s="13" t="n">
        <f aca="false">R27*S27*Q27</f>
        <v>4410450</v>
      </c>
      <c r="U27" s="14" t="n">
        <f aca="false">VLOOKUP(F27,Backbones!$A$2:$G$5,6,FALSE())</f>
        <v>0.6</v>
      </c>
      <c r="V27" s="15" t="n">
        <f aca="false">T27/1000000*U27</f>
        <v>2.64627</v>
      </c>
      <c r="W27" s="11" t="s">
        <v>59</v>
      </c>
    </row>
    <row r="28" customFormat="false" ht="15" hidden="false" customHeight="false" outlineLevel="0" collapsed="false">
      <c r="A28" s="6" t="s">
        <v>94</v>
      </c>
      <c r="B28" s="6" t="s">
        <v>50</v>
      </c>
      <c r="C28" s="6" t="s">
        <v>51</v>
      </c>
      <c r="D28" s="6" t="s">
        <v>52</v>
      </c>
      <c r="E28" s="6" t="s">
        <v>91</v>
      </c>
      <c r="F28" s="6" t="s">
        <v>54</v>
      </c>
      <c r="G28" s="6" t="s">
        <v>55</v>
      </c>
      <c r="H28" s="6" t="n">
        <v>7</v>
      </c>
      <c r="I28" s="6" t="s">
        <v>56</v>
      </c>
      <c r="J28" s="6"/>
      <c r="K28" s="6"/>
      <c r="L28" s="6"/>
      <c r="M28" s="6" t="s">
        <v>57</v>
      </c>
      <c r="N28" s="6" t="s">
        <v>58</v>
      </c>
      <c r="O28" s="6" t="s">
        <v>58</v>
      </c>
      <c r="P28" s="6" t="s">
        <v>92</v>
      </c>
      <c r="Q28" s="7" t="n">
        <f aca="false">VLOOKUP(E28,Conditions!$A$2:$I$13,6,FALSE())</f>
        <v>0.9</v>
      </c>
      <c r="R28" s="8" t="n">
        <f aca="false">VLOOKUP(G28,Benchmarks!$A$2:$I$9,5,FALSE())</f>
        <v>1089</v>
      </c>
      <c r="S28" s="8" t="n">
        <f aca="false">VLOOKUP(G28,Benchmarks!$A$2:$I$9,6,FALSE())</f>
        <v>4500</v>
      </c>
      <c r="T28" s="8" t="n">
        <f aca="false">R28*S28*Q28</f>
        <v>4410450</v>
      </c>
      <c r="U28" s="9" t="n">
        <f aca="false">VLOOKUP(F28,Backbones!$A$2:$G$5,6,FALSE())</f>
        <v>0.6</v>
      </c>
      <c r="V28" s="10" t="n">
        <f aca="false">T28/1000000*U28</f>
        <v>2.64627</v>
      </c>
      <c r="W28" s="6" t="s">
        <v>59</v>
      </c>
      <c r="X28" s="6"/>
      <c r="Y28" s="6"/>
    </row>
    <row r="29" customFormat="false" ht="15" hidden="false" customHeight="false" outlineLevel="0" collapsed="false">
      <c r="A29" s="0" t="s">
        <v>95</v>
      </c>
      <c r="B29" s="11" t="s">
        <v>50</v>
      </c>
      <c r="C29" s="0" t="s">
        <v>51</v>
      </c>
      <c r="D29" s="0" t="s">
        <v>52</v>
      </c>
      <c r="E29" s="0" t="s">
        <v>91</v>
      </c>
      <c r="F29" s="0" t="s">
        <v>54</v>
      </c>
      <c r="G29" s="0" t="s">
        <v>63</v>
      </c>
      <c r="H29" s="0" t="n">
        <v>42</v>
      </c>
      <c r="I29" s="11" t="s">
        <v>56</v>
      </c>
      <c r="M29" s="0" t="s">
        <v>57</v>
      </c>
      <c r="N29" s="0" t="s">
        <v>58</v>
      </c>
      <c r="O29" s="0" t="s">
        <v>58</v>
      </c>
      <c r="P29" s="0" t="s">
        <v>92</v>
      </c>
      <c r="Q29" s="12" t="n">
        <f aca="false">VLOOKUP(E29,Conditions!$A$2:$I$13,6,FALSE())</f>
        <v>0.9</v>
      </c>
      <c r="R29" s="13" t="n">
        <f aca="false">VLOOKUP(G29,Benchmarks!$A$2:$I$9,5,FALSE())</f>
        <v>1273</v>
      </c>
      <c r="S29" s="13" t="n">
        <f aca="false">VLOOKUP(G29,Benchmarks!$A$2:$I$9,6,FALSE())</f>
        <v>5000</v>
      </c>
      <c r="T29" s="13" t="n">
        <f aca="false">R29*S29*Q29</f>
        <v>5728500</v>
      </c>
      <c r="U29" s="14" t="n">
        <f aca="false">VLOOKUP(F29,Backbones!$A$2:$G$5,6,FALSE())</f>
        <v>0.6</v>
      </c>
      <c r="V29" s="15" t="n">
        <f aca="false">T29/1000000*U29</f>
        <v>3.4371</v>
      </c>
      <c r="W29" s="11" t="s">
        <v>59</v>
      </c>
    </row>
    <row r="30" customFormat="false" ht="15" hidden="false" customHeight="false" outlineLevel="0" collapsed="false">
      <c r="A30" s="6" t="s">
        <v>96</v>
      </c>
      <c r="B30" s="6" t="s">
        <v>50</v>
      </c>
      <c r="C30" s="6" t="s">
        <v>51</v>
      </c>
      <c r="D30" s="6" t="s">
        <v>52</v>
      </c>
      <c r="E30" s="6" t="s">
        <v>91</v>
      </c>
      <c r="F30" s="6" t="s">
        <v>54</v>
      </c>
      <c r="G30" s="6" t="s">
        <v>63</v>
      </c>
      <c r="H30" s="6" t="n">
        <v>123</v>
      </c>
      <c r="I30" s="6" t="s">
        <v>56</v>
      </c>
      <c r="J30" s="6"/>
      <c r="K30" s="6"/>
      <c r="L30" s="6"/>
      <c r="M30" s="6" t="s">
        <v>57</v>
      </c>
      <c r="N30" s="6" t="s">
        <v>58</v>
      </c>
      <c r="O30" s="6" t="s">
        <v>58</v>
      </c>
      <c r="P30" s="6" t="s">
        <v>92</v>
      </c>
      <c r="Q30" s="7" t="n">
        <f aca="false">VLOOKUP(E30,Conditions!$A$2:$I$13,6,FALSE())</f>
        <v>0.9</v>
      </c>
      <c r="R30" s="8" t="n">
        <f aca="false">VLOOKUP(G30,Benchmarks!$A$2:$I$9,5,FALSE())</f>
        <v>1273</v>
      </c>
      <c r="S30" s="8" t="n">
        <f aca="false">VLOOKUP(G30,Benchmarks!$A$2:$I$9,6,FALSE())</f>
        <v>5000</v>
      </c>
      <c r="T30" s="8" t="n">
        <f aca="false">R30*S30*Q30</f>
        <v>5728500</v>
      </c>
      <c r="U30" s="9" t="n">
        <f aca="false">VLOOKUP(F30,Backbones!$A$2:$G$5,6,FALSE())</f>
        <v>0.6</v>
      </c>
      <c r="V30" s="10" t="n">
        <f aca="false">T30/1000000*U30</f>
        <v>3.4371</v>
      </c>
      <c r="W30" s="6" t="s">
        <v>59</v>
      </c>
      <c r="X30" s="6"/>
      <c r="Y30" s="6"/>
    </row>
    <row r="31" customFormat="false" ht="15" hidden="false" customHeight="false" outlineLevel="0" collapsed="false">
      <c r="A31" s="0" t="s">
        <v>97</v>
      </c>
      <c r="B31" s="11" t="s">
        <v>50</v>
      </c>
      <c r="C31" s="0" t="s">
        <v>51</v>
      </c>
      <c r="D31" s="0" t="s">
        <v>52</v>
      </c>
      <c r="E31" s="0" t="s">
        <v>91</v>
      </c>
      <c r="F31" s="0" t="s">
        <v>54</v>
      </c>
      <c r="G31" s="0" t="s">
        <v>63</v>
      </c>
      <c r="H31" s="0" t="n">
        <v>7</v>
      </c>
      <c r="I31" s="11" t="s">
        <v>56</v>
      </c>
      <c r="M31" s="0" t="s">
        <v>57</v>
      </c>
      <c r="N31" s="0" t="s">
        <v>58</v>
      </c>
      <c r="O31" s="0" t="s">
        <v>58</v>
      </c>
      <c r="P31" s="0" t="s">
        <v>92</v>
      </c>
      <c r="Q31" s="12" t="n">
        <f aca="false">VLOOKUP(E31,Conditions!$A$2:$I$13,6,FALSE())</f>
        <v>0.9</v>
      </c>
      <c r="R31" s="13" t="n">
        <f aca="false">VLOOKUP(G31,Benchmarks!$A$2:$I$9,5,FALSE())</f>
        <v>1273</v>
      </c>
      <c r="S31" s="13" t="n">
        <f aca="false">VLOOKUP(G31,Benchmarks!$A$2:$I$9,6,FALSE())</f>
        <v>5000</v>
      </c>
      <c r="T31" s="13" t="n">
        <f aca="false">R31*S31*Q31</f>
        <v>5728500</v>
      </c>
      <c r="U31" s="14" t="n">
        <f aca="false">VLOOKUP(F31,Backbones!$A$2:$G$5,6,FALSE())</f>
        <v>0.6</v>
      </c>
      <c r="V31" s="15" t="n">
        <f aca="false">T31/1000000*U31</f>
        <v>3.4371</v>
      </c>
      <c r="W31" s="11" t="s">
        <v>59</v>
      </c>
    </row>
    <row r="32" customFormat="false" ht="15" hidden="false" customHeight="false" outlineLevel="0" collapsed="false">
      <c r="A32" s="6" t="s">
        <v>98</v>
      </c>
      <c r="B32" s="6" t="s">
        <v>50</v>
      </c>
      <c r="C32" s="6" t="s">
        <v>51</v>
      </c>
      <c r="D32" s="6" t="s">
        <v>52</v>
      </c>
      <c r="E32" s="6" t="s">
        <v>91</v>
      </c>
      <c r="F32" s="6" t="s">
        <v>54</v>
      </c>
      <c r="G32" s="6" t="s">
        <v>67</v>
      </c>
      <c r="H32" s="6" t="n">
        <v>42</v>
      </c>
      <c r="I32" s="6" t="s">
        <v>56</v>
      </c>
      <c r="J32" s="6"/>
      <c r="K32" s="6"/>
      <c r="L32" s="6"/>
      <c r="M32" s="6" t="s">
        <v>57</v>
      </c>
      <c r="N32" s="6" t="s">
        <v>58</v>
      </c>
      <c r="O32" s="6" t="s">
        <v>58</v>
      </c>
      <c r="P32" s="6" t="s">
        <v>92</v>
      </c>
      <c r="Q32" s="7" t="n">
        <f aca="false">VLOOKUP(E32,Conditions!$A$2:$I$13,6,FALSE())</f>
        <v>0.9</v>
      </c>
      <c r="R32" s="8" t="n">
        <f aca="false">VLOOKUP(G32,Benchmarks!$A$2:$I$9,5,FALSE())</f>
        <v>4183</v>
      </c>
      <c r="S32" s="8" t="n">
        <f aca="false">VLOOKUP(G32,Benchmarks!$A$2:$I$9,6,FALSE())</f>
        <v>4500</v>
      </c>
      <c r="T32" s="8" t="n">
        <f aca="false">R32*S32*Q32</f>
        <v>16941150</v>
      </c>
      <c r="U32" s="9" t="n">
        <f aca="false">VLOOKUP(F32,Backbones!$A$2:$G$5,6,FALSE())</f>
        <v>0.6</v>
      </c>
      <c r="V32" s="10" t="n">
        <f aca="false">T32/1000000*U32</f>
        <v>10.16469</v>
      </c>
      <c r="W32" s="6" t="s">
        <v>59</v>
      </c>
      <c r="X32" s="6"/>
      <c r="Y32" s="6"/>
    </row>
    <row r="33" customFormat="false" ht="15" hidden="false" customHeight="false" outlineLevel="0" collapsed="false">
      <c r="A33" s="0" t="s">
        <v>99</v>
      </c>
      <c r="B33" s="11" t="s">
        <v>50</v>
      </c>
      <c r="C33" s="0" t="s">
        <v>51</v>
      </c>
      <c r="D33" s="0" t="s">
        <v>52</v>
      </c>
      <c r="E33" s="0" t="s">
        <v>91</v>
      </c>
      <c r="F33" s="0" t="s">
        <v>54</v>
      </c>
      <c r="G33" s="0" t="s">
        <v>67</v>
      </c>
      <c r="H33" s="0" t="n">
        <v>123</v>
      </c>
      <c r="I33" s="11" t="s">
        <v>56</v>
      </c>
      <c r="M33" s="0" t="s">
        <v>57</v>
      </c>
      <c r="N33" s="0" t="s">
        <v>58</v>
      </c>
      <c r="O33" s="0" t="s">
        <v>58</v>
      </c>
      <c r="P33" s="0" t="s">
        <v>92</v>
      </c>
      <c r="Q33" s="12" t="n">
        <f aca="false">VLOOKUP(E33,Conditions!$A$2:$I$13,6,FALSE())</f>
        <v>0.9</v>
      </c>
      <c r="R33" s="13" t="n">
        <f aca="false">VLOOKUP(G33,Benchmarks!$A$2:$I$9,5,FALSE())</f>
        <v>4183</v>
      </c>
      <c r="S33" s="13" t="n">
        <f aca="false">VLOOKUP(G33,Benchmarks!$A$2:$I$9,6,FALSE())</f>
        <v>4500</v>
      </c>
      <c r="T33" s="13" t="n">
        <f aca="false">R33*S33*Q33</f>
        <v>16941150</v>
      </c>
      <c r="U33" s="14" t="n">
        <f aca="false">VLOOKUP(F33,Backbones!$A$2:$G$5,6,FALSE())</f>
        <v>0.6</v>
      </c>
      <c r="V33" s="15" t="n">
        <f aca="false">T33/1000000*U33</f>
        <v>10.16469</v>
      </c>
      <c r="W33" s="11" t="s">
        <v>59</v>
      </c>
    </row>
    <row r="34" customFormat="false" ht="15" hidden="false" customHeight="false" outlineLevel="0" collapsed="false">
      <c r="A34" s="6" t="s">
        <v>100</v>
      </c>
      <c r="B34" s="6" t="s">
        <v>50</v>
      </c>
      <c r="C34" s="6" t="s">
        <v>51</v>
      </c>
      <c r="D34" s="6" t="s">
        <v>52</v>
      </c>
      <c r="E34" s="6" t="s">
        <v>91</v>
      </c>
      <c r="F34" s="6" t="s">
        <v>54</v>
      </c>
      <c r="G34" s="6" t="s">
        <v>67</v>
      </c>
      <c r="H34" s="6" t="n">
        <v>7</v>
      </c>
      <c r="I34" s="6" t="s">
        <v>56</v>
      </c>
      <c r="J34" s="6"/>
      <c r="K34" s="6"/>
      <c r="L34" s="6"/>
      <c r="M34" s="6" t="s">
        <v>57</v>
      </c>
      <c r="N34" s="6" t="s">
        <v>58</v>
      </c>
      <c r="O34" s="6" t="s">
        <v>58</v>
      </c>
      <c r="P34" s="6" t="s">
        <v>92</v>
      </c>
      <c r="Q34" s="7" t="n">
        <f aca="false">VLOOKUP(E34,Conditions!$A$2:$I$13,6,FALSE())</f>
        <v>0.9</v>
      </c>
      <c r="R34" s="8" t="n">
        <f aca="false">VLOOKUP(G34,Benchmarks!$A$2:$I$9,5,FALSE())</f>
        <v>4183</v>
      </c>
      <c r="S34" s="8" t="n">
        <f aca="false">VLOOKUP(G34,Benchmarks!$A$2:$I$9,6,FALSE())</f>
        <v>4500</v>
      </c>
      <c r="T34" s="8" t="n">
        <f aca="false">R34*S34*Q34</f>
        <v>16941150</v>
      </c>
      <c r="U34" s="9" t="n">
        <f aca="false">VLOOKUP(F34,Backbones!$A$2:$G$5,6,FALSE())</f>
        <v>0.6</v>
      </c>
      <c r="V34" s="10" t="n">
        <f aca="false">T34/1000000*U34</f>
        <v>10.16469</v>
      </c>
      <c r="W34" s="6" t="s">
        <v>59</v>
      </c>
      <c r="X34" s="6"/>
      <c r="Y34" s="6"/>
    </row>
    <row r="35" customFormat="false" ht="15" hidden="false" customHeight="false" outlineLevel="0" collapsed="false">
      <c r="A35" s="0" t="s">
        <v>101</v>
      </c>
      <c r="B35" s="11" t="s">
        <v>50</v>
      </c>
      <c r="C35" s="0" t="s">
        <v>51</v>
      </c>
      <c r="D35" s="0" t="s">
        <v>52</v>
      </c>
      <c r="E35" s="0" t="s">
        <v>91</v>
      </c>
      <c r="F35" s="0" t="s">
        <v>54</v>
      </c>
      <c r="G35" s="0" t="s">
        <v>71</v>
      </c>
      <c r="H35" s="0" t="n">
        <v>42</v>
      </c>
      <c r="I35" s="11" t="s">
        <v>56</v>
      </c>
      <c r="M35" s="0" t="s">
        <v>57</v>
      </c>
      <c r="N35" s="0" t="s">
        <v>58</v>
      </c>
      <c r="O35" s="0" t="s">
        <v>58</v>
      </c>
      <c r="P35" s="0" t="s">
        <v>92</v>
      </c>
      <c r="Q35" s="12" t="n">
        <f aca="false">VLOOKUP(E35,Conditions!$A$2:$I$13,6,FALSE())</f>
        <v>0.9</v>
      </c>
      <c r="R35" s="13" t="n">
        <f aca="false">VLOOKUP(G35,Benchmarks!$A$2:$I$9,5,FALSE())</f>
        <v>500</v>
      </c>
      <c r="S35" s="13" t="n">
        <f aca="false">VLOOKUP(G35,Benchmarks!$A$2:$I$9,6,FALSE())</f>
        <v>5500</v>
      </c>
      <c r="T35" s="13" t="n">
        <f aca="false">R35*S35*Q35</f>
        <v>2475000</v>
      </c>
      <c r="U35" s="14" t="n">
        <f aca="false">VLOOKUP(F35,Backbones!$A$2:$G$5,6,FALSE())</f>
        <v>0.6</v>
      </c>
      <c r="V35" s="15" t="n">
        <f aca="false">T35/1000000*U35</f>
        <v>1.485</v>
      </c>
      <c r="W35" s="11" t="s">
        <v>59</v>
      </c>
    </row>
    <row r="36" customFormat="false" ht="15" hidden="false" customHeight="false" outlineLevel="0" collapsed="false">
      <c r="A36" s="6" t="s">
        <v>102</v>
      </c>
      <c r="B36" s="6" t="s">
        <v>50</v>
      </c>
      <c r="C36" s="6" t="s">
        <v>51</v>
      </c>
      <c r="D36" s="6" t="s">
        <v>52</v>
      </c>
      <c r="E36" s="6" t="s">
        <v>91</v>
      </c>
      <c r="F36" s="6" t="s">
        <v>54</v>
      </c>
      <c r="G36" s="6" t="s">
        <v>71</v>
      </c>
      <c r="H36" s="6" t="n">
        <v>123</v>
      </c>
      <c r="I36" s="6" t="s">
        <v>56</v>
      </c>
      <c r="J36" s="6"/>
      <c r="K36" s="6"/>
      <c r="L36" s="6"/>
      <c r="M36" s="6" t="s">
        <v>57</v>
      </c>
      <c r="N36" s="6" t="s">
        <v>58</v>
      </c>
      <c r="O36" s="6" t="s">
        <v>58</v>
      </c>
      <c r="P36" s="6" t="s">
        <v>92</v>
      </c>
      <c r="Q36" s="7" t="n">
        <f aca="false">VLOOKUP(E36,Conditions!$A$2:$I$13,6,FALSE())</f>
        <v>0.9</v>
      </c>
      <c r="R36" s="8" t="n">
        <f aca="false">VLOOKUP(G36,Benchmarks!$A$2:$I$9,5,FALSE())</f>
        <v>500</v>
      </c>
      <c r="S36" s="8" t="n">
        <f aca="false">VLOOKUP(G36,Benchmarks!$A$2:$I$9,6,FALSE())</f>
        <v>5500</v>
      </c>
      <c r="T36" s="8" t="n">
        <f aca="false">R36*S36*Q36</f>
        <v>2475000</v>
      </c>
      <c r="U36" s="9" t="n">
        <f aca="false">VLOOKUP(F36,Backbones!$A$2:$G$5,6,FALSE())</f>
        <v>0.6</v>
      </c>
      <c r="V36" s="10" t="n">
        <f aca="false">T36/1000000*U36</f>
        <v>1.485</v>
      </c>
      <c r="W36" s="6" t="s">
        <v>59</v>
      </c>
      <c r="X36" s="6"/>
      <c r="Y36" s="6"/>
    </row>
    <row r="37" customFormat="false" ht="15" hidden="false" customHeight="false" outlineLevel="0" collapsed="false">
      <c r="A37" s="0" t="s">
        <v>103</v>
      </c>
      <c r="B37" s="11" t="s">
        <v>50</v>
      </c>
      <c r="C37" s="0" t="s">
        <v>51</v>
      </c>
      <c r="D37" s="0" t="s">
        <v>52</v>
      </c>
      <c r="E37" s="0" t="s">
        <v>91</v>
      </c>
      <c r="F37" s="0" t="s">
        <v>54</v>
      </c>
      <c r="G37" s="0" t="s">
        <v>71</v>
      </c>
      <c r="H37" s="0" t="n">
        <v>7</v>
      </c>
      <c r="I37" s="11" t="s">
        <v>56</v>
      </c>
      <c r="M37" s="0" t="s">
        <v>57</v>
      </c>
      <c r="N37" s="0" t="s">
        <v>58</v>
      </c>
      <c r="O37" s="0" t="s">
        <v>58</v>
      </c>
      <c r="P37" s="0" t="s">
        <v>92</v>
      </c>
      <c r="Q37" s="12" t="n">
        <f aca="false">VLOOKUP(E37,Conditions!$A$2:$I$13,6,FALSE())</f>
        <v>0.9</v>
      </c>
      <c r="R37" s="13" t="n">
        <f aca="false">VLOOKUP(G37,Benchmarks!$A$2:$I$9,5,FALSE())</f>
        <v>500</v>
      </c>
      <c r="S37" s="13" t="n">
        <f aca="false">VLOOKUP(G37,Benchmarks!$A$2:$I$9,6,FALSE())</f>
        <v>5500</v>
      </c>
      <c r="T37" s="13" t="n">
        <f aca="false">R37*S37*Q37</f>
        <v>2475000</v>
      </c>
      <c r="U37" s="14" t="n">
        <f aca="false">VLOOKUP(F37,Backbones!$A$2:$G$5,6,FALSE())</f>
        <v>0.6</v>
      </c>
      <c r="V37" s="15" t="n">
        <f aca="false">T37/1000000*U37</f>
        <v>1.485</v>
      </c>
      <c r="W37" s="11" t="s">
        <v>59</v>
      </c>
    </row>
    <row r="38" customFormat="false" ht="15" hidden="false" customHeight="false" outlineLevel="0" collapsed="false">
      <c r="A38" s="6" t="s">
        <v>104</v>
      </c>
      <c r="B38" s="6" t="s">
        <v>50</v>
      </c>
      <c r="C38" s="6" t="s">
        <v>51</v>
      </c>
      <c r="D38" s="6" t="s">
        <v>52</v>
      </c>
      <c r="E38" s="6" t="s">
        <v>91</v>
      </c>
      <c r="F38" s="6" t="s">
        <v>54</v>
      </c>
      <c r="G38" s="6" t="s">
        <v>75</v>
      </c>
      <c r="H38" s="6" t="n">
        <v>42</v>
      </c>
      <c r="I38" s="6" t="s">
        <v>56</v>
      </c>
      <c r="J38" s="6"/>
      <c r="K38" s="6"/>
      <c r="L38" s="6"/>
      <c r="M38" s="6" t="s">
        <v>57</v>
      </c>
      <c r="N38" s="6" t="s">
        <v>58</v>
      </c>
      <c r="O38" s="6" t="s">
        <v>58</v>
      </c>
      <c r="P38" s="6" t="s">
        <v>92</v>
      </c>
      <c r="Q38" s="7" t="n">
        <f aca="false">VLOOKUP(E38,Conditions!$A$2:$I$13,6,FALSE())</f>
        <v>0.9</v>
      </c>
      <c r="R38" s="8" t="n">
        <f aca="false">VLOOKUP(G38,Benchmarks!$A$2:$I$9,5,FALSE())</f>
        <v>618</v>
      </c>
      <c r="S38" s="8" t="n">
        <f aca="false">VLOOKUP(G38,Benchmarks!$A$2:$I$9,6,FALSE())</f>
        <v>5000</v>
      </c>
      <c r="T38" s="8" t="n">
        <f aca="false">R38*S38*Q38</f>
        <v>2781000</v>
      </c>
      <c r="U38" s="9" t="n">
        <f aca="false">VLOOKUP(F38,Backbones!$A$2:$G$5,6,FALSE())</f>
        <v>0.6</v>
      </c>
      <c r="V38" s="10" t="n">
        <f aca="false">T38/1000000*U38</f>
        <v>1.6686</v>
      </c>
      <c r="W38" s="6" t="s">
        <v>59</v>
      </c>
      <c r="X38" s="6"/>
      <c r="Y38" s="6"/>
    </row>
    <row r="39" customFormat="false" ht="15" hidden="false" customHeight="false" outlineLevel="0" collapsed="false">
      <c r="A39" s="0" t="s">
        <v>105</v>
      </c>
      <c r="B39" s="11" t="s">
        <v>50</v>
      </c>
      <c r="C39" s="0" t="s">
        <v>51</v>
      </c>
      <c r="D39" s="0" t="s">
        <v>52</v>
      </c>
      <c r="E39" s="0" t="s">
        <v>91</v>
      </c>
      <c r="F39" s="0" t="s">
        <v>54</v>
      </c>
      <c r="G39" s="0" t="s">
        <v>75</v>
      </c>
      <c r="H39" s="0" t="n">
        <v>123</v>
      </c>
      <c r="I39" s="11" t="s">
        <v>56</v>
      </c>
      <c r="M39" s="0" t="s">
        <v>57</v>
      </c>
      <c r="N39" s="0" t="s">
        <v>58</v>
      </c>
      <c r="O39" s="0" t="s">
        <v>58</v>
      </c>
      <c r="P39" s="0" t="s">
        <v>92</v>
      </c>
      <c r="Q39" s="12" t="n">
        <f aca="false">VLOOKUP(E39,Conditions!$A$2:$I$13,6,FALSE())</f>
        <v>0.9</v>
      </c>
      <c r="R39" s="13" t="n">
        <f aca="false">VLOOKUP(G39,Benchmarks!$A$2:$I$9,5,FALSE())</f>
        <v>618</v>
      </c>
      <c r="S39" s="13" t="n">
        <f aca="false">VLOOKUP(G39,Benchmarks!$A$2:$I$9,6,FALSE())</f>
        <v>5000</v>
      </c>
      <c r="T39" s="13" t="n">
        <f aca="false">R39*S39*Q39</f>
        <v>2781000</v>
      </c>
      <c r="U39" s="14" t="n">
        <f aca="false">VLOOKUP(F39,Backbones!$A$2:$G$5,6,FALSE())</f>
        <v>0.6</v>
      </c>
      <c r="V39" s="15" t="n">
        <f aca="false">T39/1000000*U39</f>
        <v>1.6686</v>
      </c>
      <c r="W39" s="11" t="s">
        <v>59</v>
      </c>
    </row>
    <row r="40" customFormat="false" ht="15" hidden="false" customHeight="false" outlineLevel="0" collapsed="false">
      <c r="A40" s="6" t="s">
        <v>106</v>
      </c>
      <c r="B40" s="6" t="s">
        <v>50</v>
      </c>
      <c r="C40" s="6" t="s">
        <v>51</v>
      </c>
      <c r="D40" s="6" t="s">
        <v>52</v>
      </c>
      <c r="E40" s="6" t="s">
        <v>91</v>
      </c>
      <c r="F40" s="6" t="s">
        <v>54</v>
      </c>
      <c r="G40" s="6" t="s">
        <v>75</v>
      </c>
      <c r="H40" s="6" t="n">
        <v>7</v>
      </c>
      <c r="I40" s="6" t="s">
        <v>56</v>
      </c>
      <c r="J40" s="6"/>
      <c r="K40" s="6"/>
      <c r="L40" s="6"/>
      <c r="M40" s="6" t="s">
        <v>57</v>
      </c>
      <c r="N40" s="6" t="s">
        <v>58</v>
      </c>
      <c r="O40" s="6" t="s">
        <v>58</v>
      </c>
      <c r="P40" s="6" t="s">
        <v>92</v>
      </c>
      <c r="Q40" s="7" t="n">
        <f aca="false">VLOOKUP(E40,Conditions!$A$2:$I$13,6,FALSE())</f>
        <v>0.9</v>
      </c>
      <c r="R40" s="8" t="n">
        <f aca="false">VLOOKUP(G40,Benchmarks!$A$2:$I$9,5,FALSE())</f>
        <v>618</v>
      </c>
      <c r="S40" s="8" t="n">
        <f aca="false">VLOOKUP(G40,Benchmarks!$A$2:$I$9,6,FALSE())</f>
        <v>5000</v>
      </c>
      <c r="T40" s="8" t="n">
        <f aca="false">R40*S40*Q40</f>
        <v>2781000</v>
      </c>
      <c r="U40" s="9" t="n">
        <f aca="false">VLOOKUP(F40,Backbones!$A$2:$G$5,6,FALSE())</f>
        <v>0.6</v>
      </c>
      <c r="V40" s="10" t="n">
        <f aca="false">T40/1000000*U40</f>
        <v>1.6686</v>
      </c>
      <c r="W40" s="6" t="s">
        <v>59</v>
      </c>
      <c r="X40" s="6"/>
      <c r="Y40" s="6"/>
    </row>
    <row r="41" customFormat="false" ht="15" hidden="false" customHeight="false" outlineLevel="0" collapsed="false">
      <c r="A41" s="0" t="s">
        <v>107</v>
      </c>
      <c r="B41" s="11" t="s">
        <v>50</v>
      </c>
      <c r="C41" s="0" t="s">
        <v>51</v>
      </c>
      <c r="D41" s="0" t="s">
        <v>52</v>
      </c>
      <c r="E41" s="0" t="s">
        <v>91</v>
      </c>
      <c r="F41" s="0" t="s">
        <v>54</v>
      </c>
      <c r="G41" s="0" t="s">
        <v>79</v>
      </c>
      <c r="H41" s="0" t="n">
        <v>42</v>
      </c>
      <c r="I41" s="11" t="s">
        <v>56</v>
      </c>
      <c r="M41" s="0" t="s">
        <v>57</v>
      </c>
      <c r="N41" s="0" t="s">
        <v>58</v>
      </c>
      <c r="O41" s="0" t="s">
        <v>58</v>
      </c>
      <c r="P41" s="0" t="s">
        <v>92</v>
      </c>
      <c r="Q41" s="12" t="n">
        <f aca="false">VLOOKUP(E41,Conditions!$A$2:$I$13,6,FALSE())</f>
        <v>0.9</v>
      </c>
      <c r="R41" s="13" t="n">
        <f aca="false">VLOOKUP(G41,Benchmarks!$A$2:$I$9,5,FALSE())</f>
        <v>50</v>
      </c>
      <c r="S41" s="13" t="n">
        <f aca="false">VLOOKUP(G41,Benchmarks!$A$2:$I$9,6,FALSE())</f>
        <v>8000</v>
      </c>
      <c r="T41" s="13" t="n">
        <f aca="false">R41*S41*Q41</f>
        <v>360000</v>
      </c>
      <c r="U41" s="14" t="n">
        <f aca="false">VLOOKUP(F41,Backbones!$A$2:$G$5,6,FALSE())</f>
        <v>0.6</v>
      </c>
      <c r="V41" s="15" t="n">
        <f aca="false">T41/1000000*U41</f>
        <v>0.216</v>
      </c>
      <c r="W41" s="11" t="s">
        <v>59</v>
      </c>
    </row>
    <row r="42" customFormat="false" ht="15" hidden="false" customHeight="false" outlineLevel="0" collapsed="false">
      <c r="A42" s="6" t="s">
        <v>108</v>
      </c>
      <c r="B42" s="6" t="s">
        <v>50</v>
      </c>
      <c r="C42" s="6" t="s">
        <v>51</v>
      </c>
      <c r="D42" s="6" t="s">
        <v>52</v>
      </c>
      <c r="E42" s="6" t="s">
        <v>91</v>
      </c>
      <c r="F42" s="6" t="s">
        <v>54</v>
      </c>
      <c r="G42" s="6" t="s">
        <v>79</v>
      </c>
      <c r="H42" s="6" t="n">
        <v>123</v>
      </c>
      <c r="I42" s="6" t="s">
        <v>56</v>
      </c>
      <c r="J42" s="6"/>
      <c r="K42" s="6"/>
      <c r="L42" s="6"/>
      <c r="M42" s="6" t="s">
        <v>57</v>
      </c>
      <c r="N42" s="6" t="s">
        <v>58</v>
      </c>
      <c r="O42" s="6" t="s">
        <v>58</v>
      </c>
      <c r="P42" s="6" t="s">
        <v>92</v>
      </c>
      <c r="Q42" s="7" t="n">
        <f aca="false">VLOOKUP(E42,Conditions!$A$2:$I$13,6,FALSE())</f>
        <v>0.9</v>
      </c>
      <c r="R42" s="8" t="n">
        <f aca="false">VLOOKUP(G42,Benchmarks!$A$2:$I$9,5,FALSE())</f>
        <v>50</v>
      </c>
      <c r="S42" s="8" t="n">
        <f aca="false">VLOOKUP(G42,Benchmarks!$A$2:$I$9,6,FALSE())</f>
        <v>8000</v>
      </c>
      <c r="T42" s="8" t="n">
        <f aca="false">R42*S42*Q42</f>
        <v>360000</v>
      </c>
      <c r="U42" s="9" t="n">
        <f aca="false">VLOOKUP(F42,Backbones!$A$2:$G$5,6,FALSE())</f>
        <v>0.6</v>
      </c>
      <c r="V42" s="10" t="n">
        <f aca="false">T42/1000000*U42</f>
        <v>0.216</v>
      </c>
      <c r="W42" s="6" t="s">
        <v>59</v>
      </c>
      <c r="X42" s="6"/>
      <c r="Y42" s="6"/>
    </row>
    <row r="43" customFormat="false" ht="15" hidden="false" customHeight="false" outlineLevel="0" collapsed="false">
      <c r="A43" s="0" t="s">
        <v>109</v>
      </c>
      <c r="B43" s="11" t="s">
        <v>50</v>
      </c>
      <c r="C43" s="0" t="s">
        <v>51</v>
      </c>
      <c r="D43" s="0" t="s">
        <v>52</v>
      </c>
      <c r="E43" s="0" t="s">
        <v>91</v>
      </c>
      <c r="F43" s="0" t="s">
        <v>54</v>
      </c>
      <c r="G43" s="0" t="s">
        <v>79</v>
      </c>
      <c r="H43" s="0" t="n">
        <v>7</v>
      </c>
      <c r="I43" s="11" t="s">
        <v>56</v>
      </c>
      <c r="M43" s="0" t="s">
        <v>57</v>
      </c>
      <c r="N43" s="0" t="s">
        <v>58</v>
      </c>
      <c r="O43" s="0" t="s">
        <v>58</v>
      </c>
      <c r="P43" s="0" t="s">
        <v>92</v>
      </c>
      <c r="Q43" s="12" t="n">
        <f aca="false">VLOOKUP(E43,Conditions!$A$2:$I$13,6,FALSE())</f>
        <v>0.9</v>
      </c>
      <c r="R43" s="13" t="n">
        <f aca="false">VLOOKUP(G43,Benchmarks!$A$2:$I$9,5,FALSE())</f>
        <v>50</v>
      </c>
      <c r="S43" s="13" t="n">
        <f aca="false">VLOOKUP(G43,Benchmarks!$A$2:$I$9,6,FALSE())</f>
        <v>8000</v>
      </c>
      <c r="T43" s="13" t="n">
        <f aca="false">R43*S43*Q43</f>
        <v>360000</v>
      </c>
      <c r="U43" s="14" t="n">
        <f aca="false">VLOOKUP(F43,Backbones!$A$2:$G$5,6,FALSE())</f>
        <v>0.6</v>
      </c>
      <c r="V43" s="15" t="n">
        <f aca="false">T43/1000000*U43</f>
        <v>0.216</v>
      </c>
      <c r="W43" s="11" t="s">
        <v>59</v>
      </c>
    </row>
    <row r="44" customFormat="false" ht="15" hidden="false" customHeight="false" outlineLevel="0" collapsed="false">
      <c r="A44" s="6" t="s">
        <v>110</v>
      </c>
      <c r="B44" s="6" t="s">
        <v>50</v>
      </c>
      <c r="C44" s="6" t="s">
        <v>51</v>
      </c>
      <c r="D44" s="6" t="s">
        <v>52</v>
      </c>
      <c r="E44" s="6" t="s">
        <v>91</v>
      </c>
      <c r="F44" s="6" t="s">
        <v>54</v>
      </c>
      <c r="G44" s="6" t="s">
        <v>83</v>
      </c>
      <c r="H44" s="6" t="n">
        <v>42</v>
      </c>
      <c r="I44" s="6" t="s">
        <v>56</v>
      </c>
      <c r="J44" s="6"/>
      <c r="K44" s="6"/>
      <c r="L44" s="6"/>
      <c r="M44" s="6" t="s">
        <v>57</v>
      </c>
      <c r="N44" s="6" t="s">
        <v>58</v>
      </c>
      <c r="O44" s="6" t="s">
        <v>58</v>
      </c>
      <c r="P44" s="6" t="s">
        <v>92</v>
      </c>
      <c r="Q44" s="7" t="n">
        <f aca="false">VLOOKUP(E44,Conditions!$A$2:$I$13,6,FALSE())</f>
        <v>0.9</v>
      </c>
      <c r="R44" s="8" t="n">
        <f aca="false">VLOOKUP(G44,Benchmarks!$A$2:$I$9,5,FALSE())</f>
        <v>200</v>
      </c>
      <c r="S44" s="8" t="n">
        <f aca="false">VLOOKUP(G44,Benchmarks!$A$2:$I$9,6,FALSE())</f>
        <v>8000</v>
      </c>
      <c r="T44" s="8" t="n">
        <f aca="false">R44*S44*Q44</f>
        <v>1440000</v>
      </c>
      <c r="U44" s="9" t="n">
        <f aca="false">VLOOKUP(F44,Backbones!$A$2:$G$5,6,FALSE())</f>
        <v>0.6</v>
      </c>
      <c r="V44" s="10" t="n">
        <f aca="false">T44/1000000*U44</f>
        <v>0.864</v>
      </c>
      <c r="W44" s="6" t="s">
        <v>59</v>
      </c>
      <c r="X44" s="6"/>
      <c r="Y44" s="6"/>
    </row>
    <row r="45" customFormat="false" ht="15" hidden="false" customHeight="false" outlineLevel="0" collapsed="false">
      <c r="A45" s="0" t="s">
        <v>111</v>
      </c>
      <c r="B45" s="11" t="s">
        <v>50</v>
      </c>
      <c r="C45" s="0" t="s">
        <v>51</v>
      </c>
      <c r="D45" s="0" t="s">
        <v>52</v>
      </c>
      <c r="E45" s="0" t="s">
        <v>91</v>
      </c>
      <c r="F45" s="0" t="s">
        <v>54</v>
      </c>
      <c r="G45" s="0" t="s">
        <v>83</v>
      </c>
      <c r="H45" s="0" t="n">
        <v>123</v>
      </c>
      <c r="I45" s="11" t="s">
        <v>56</v>
      </c>
      <c r="M45" s="0" t="s">
        <v>57</v>
      </c>
      <c r="N45" s="0" t="s">
        <v>58</v>
      </c>
      <c r="O45" s="0" t="s">
        <v>58</v>
      </c>
      <c r="P45" s="0" t="s">
        <v>92</v>
      </c>
      <c r="Q45" s="12" t="n">
        <f aca="false">VLOOKUP(E45,Conditions!$A$2:$I$13,6,FALSE())</f>
        <v>0.9</v>
      </c>
      <c r="R45" s="13" t="n">
        <f aca="false">VLOOKUP(G45,Benchmarks!$A$2:$I$9,5,FALSE())</f>
        <v>200</v>
      </c>
      <c r="S45" s="13" t="n">
        <f aca="false">VLOOKUP(G45,Benchmarks!$A$2:$I$9,6,FALSE())</f>
        <v>8000</v>
      </c>
      <c r="T45" s="13" t="n">
        <f aca="false">R45*S45*Q45</f>
        <v>1440000</v>
      </c>
      <c r="U45" s="14" t="n">
        <f aca="false">VLOOKUP(F45,Backbones!$A$2:$G$5,6,FALSE())</f>
        <v>0.6</v>
      </c>
      <c r="V45" s="15" t="n">
        <f aca="false">T45/1000000*U45</f>
        <v>0.864</v>
      </c>
      <c r="W45" s="11" t="s">
        <v>59</v>
      </c>
    </row>
    <row r="46" customFormat="false" ht="15" hidden="false" customHeight="false" outlineLevel="0" collapsed="false">
      <c r="A46" s="6" t="s">
        <v>112</v>
      </c>
      <c r="B46" s="6" t="s">
        <v>50</v>
      </c>
      <c r="C46" s="6" t="s">
        <v>51</v>
      </c>
      <c r="D46" s="6" t="s">
        <v>52</v>
      </c>
      <c r="E46" s="6" t="s">
        <v>91</v>
      </c>
      <c r="F46" s="6" t="s">
        <v>54</v>
      </c>
      <c r="G46" s="6" t="s">
        <v>83</v>
      </c>
      <c r="H46" s="6" t="n">
        <v>7</v>
      </c>
      <c r="I46" s="6" t="s">
        <v>56</v>
      </c>
      <c r="J46" s="6"/>
      <c r="K46" s="6"/>
      <c r="L46" s="6"/>
      <c r="M46" s="6" t="s">
        <v>57</v>
      </c>
      <c r="N46" s="6" t="s">
        <v>58</v>
      </c>
      <c r="O46" s="6" t="s">
        <v>58</v>
      </c>
      <c r="P46" s="6" t="s">
        <v>92</v>
      </c>
      <c r="Q46" s="7" t="n">
        <f aca="false">VLOOKUP(E46,Conditions!$A$2:$I$13,6,FALSE())</f>
        <v>0.9</v>
      </c>
      <c r="R46" s="8" t="n">
        <f aca="false">VLOOKUP(G46,Benchmarks!$A$2:$I$9,5,FALSE())</f>
        <v>200</v>
      </c>
      <c r="S46" s="8" t="n">
        <f aca="false">VLOOKUP(G46,Benchmarks!$A$2:$I$9,6,FALSE())</f>
        <v>8000</v>
      </c>
      <c r="T46" s="8" t="n">
        <f aca="false">R46*S46*Q46</f>
        <v>1440000</v>
      </c>
      <c r="U46" s="9" t="n">
        <f aca="false">VLOOKUP(F46,Backbones!$A$2:$G$5,6,FALSE())</f>
        <v>0.6</v>
      </c>
      <c r="V46" s="10" t="n">
        <f aca="false">T46/1000000*U46</f>
        <v>0.864</v>
      </c>
      <c r="W46" s="6" t="s">
        <v>59</v>
      </c>
      <c r="X46" s="6"/>
      <c r="Y46" s="6"/>
    </row>
    <row r="47" customFormat="false" ht="15" hidden="false" customHeight="false" outlineLevel="0" collapsed="false">
      <c r="A47" s="0" t="s">
        <v>113</v>
      </c>
      <c r="B47" s="11" t="s">
        <v>50</v>
      </c>
      <c r="C47" s="0" t="s">
        <v>51</v>
      </c>
      <c r="D47" s="0" t="s">
        <v>52</v>
      </c>
      <c r="E47" s="0" t="s">
        <v>91</v>
      </c>
      <c r="F47" s="0" t="s">
        <v>54</v>
      </c>
      <c r="G47" s="0" t="s">
        <v>87</v>
      </c>
      <c r="H47" s="0" t="n">
        <v>42</v>
      </c>
      <c r="I47" s="11" t="s">
        <v>56</v>
      </c>
      <c r="M47" s="0" t="s">
        <v>57</v>
      </c>
      <c r="N47" s="0" t="s">
        <v>58</v>
      </c>
      <c r="O47" s="0" t="s">
        <v>58</v>
      </c>
      <c r="P47" s="0" t="s">
        <v>92</v>
      </c>
      <c r="Q47" s="12" t="n">
        <f aca="false">VLOOKUP(E47,Conditions!$A$2:$I$13,6,FALSE())</f>
        <v>0.9</v>
      </c>
      <c r="R47" s="13" t="n">
        <f aca="false">VLOOKUP(G47,Benchmarks!$A$2:$I$9,5,FALSE())</f>
        <v>150</v>
      </c>
      <c r="S47" s="13" t="n">
        <f aca="false">VLOOKUP(G47,Benchmarks!$A$2:$I$9,6,FALSE())</f>
        <v>6000</v>
      </c>
      <c r="T47" s="13" t="n">
        <f aca="false">R47*S47*Q47</f>
        <v>810000</v>
      </c>
      <c r="U47" s="14" t="n">
        <f aca="false">VLOOKUP(F47,Backbones!$A$2:$G$5,6,FALSE())</f>
        <v>0.6</v>
      </c>
      <c r="V47" s="15" t="n">
        <f aca="false">T47/1000000*U47</f>
        <v>0.486</v>
      </c>
      <c r="W47" s="11" t="s">
        <v>59</v>
      </c>
    </row>
    <row r="48" customFormat="false" ht="15" hidden="false" customHeight="false" outlineLevel="0" collapsed="false">
      <c r="A48" s="6" t="s">
        <v>114</v>
      </c>
      <c r="B48" s="6" t="s">
        <v>50</v>
      </c>
      <c r="C48" s="6" t="s">
        <v>51</v>
      </c>
      <c r="D48" s="6" t="s">
        <v>52</v>
      </c>
      <c r="E48" s="6" t="s">
        <v>91</v>
      </c>
      <c r="F48" s="6" t="s">
        <v>54</v>
      </c>
      <c r="G48" s="6" t="s">
        <v>87</v>
      </c>
      <c r="H48" s="6" t="n">
        <v>123</v>
      </c>
      <c r="I48" s="6" t="s">
        <v>56</v>
      </c>
      <c r="J48" s="6"/>
      <c r="K48" s="6"/>
      <c r="L48" s="6"/>
      <c r="M48" s="6" t="s">
        <v>57</v>
      </c>
      <c r="N48" s="6" t="s">
        <v>58</v>
      </c>
      <c r="O48" s="6" t="s">
        <v>58</v>
      </c>
      <c r="P48" s="6" t="s">
        <v>92</v>
      </c>
      <c r="Q48" s="7" t="n">
        <f aca="false">VLOOKUP(E48,Conditions!$A$2:$I$13,6,FALSE())</f>
        <v>0.9</v>
      </c>
      <c r="R48" s="8" t="n">
        <f aca="false">VLOOKUP(G48,Benchmarks!$A$2:$I$9,5,FALSE())</f>
        <v>150</v>
      </c>
      <c r="S48" s="8" t="n">
        <f aca="false">VLOOKUP(G48,Benchmarks!$A$2:$I$9,6,FALSE())</f>
        <v>6000</v>
      </c>
      <c r="T48" s="8" t="n">
        <f aca="false">R48*S48*Q48</f>
        <v>810000</v>
      </c>
      <c r="U48" s="9" t="n">
        <f aca="false">VLOOKUP(F48,Backbones!$A$2:$G$5,6,FALSE())</f>
        <v>0.6</v>
      </c>
      <c r="V48" s="10" t="n">
        <f aca="false">T48/1000000*U48</f>
        <v>0.486</v>
      </c>
      <c r="W48" s="6" t="s">
        <v>59</v>
      </c>
      <c r="X48" s="6"/>
      <c r="Y48" s="6"/>
    </row>
    <row r="49" customFormat="false" ht="15" hidden="false" customHeight="false" outlineLevel="0" collapsed="false">
      <c r="A49" s="0" t="s">
        <v>115</v>
      </c>
      <c r="B49" s="11" t="s">
        <v>50</v>
      </c>
      <c r="C49" s="0" t="s">
        <v>51</v>
      </c>
      <c r="D49" s="0" t="s">
        <v>52</v>
      </c>
      <c r="E49" s="0" t="s">
        <v>91</v>
      </c>
      <c r="F49" s="0" t="s">
        <v>54</v>
      </c>
      <c r="G49" s="0" t="s">
        <v>87</v>
      </c>
      <c r="H49" s="0" t="n">
        <v>7</v>
      </c>
      <c r="I49" s="11" t="s">
        <v>56</v>
      </c>
      <c r="M49" s="0" t="s">
        <v>57</v>
      </c>
      <c r="N49" s="0" t="s">
        <v>58</v>
      </c>
      <c r="O49" s="0" t="s">
        <v>58</v>
      </c>
      <c r="P49" s="0" t="s">
        <v>92</v>
      </c>
      <c r="Q49" s="12" t="n">
        <f aca="false">VLOOKUP(E49,Conditions!$A$2:$I$13,6,FALSE())</f>
        <v>0.9</v>
      </c>
      <c r="R49" s="13" t="n">
        <f aca="false">VLOOKUP(G49,Benchmarks!$A$2:$I$9,5,FALSE())</f>
        <v>150</v>
      </c>
      <c r="S49" s="13" t="n">
        <f aca="false">VLOOKUP(G49,Benchmarks!$A$2:$I$9,6,FALSE())</f>
        <v>6000</v>
      </c>
      <c r="T49" s="13" t="n">
        <f aca="false">R49*S49*Q49</f>
        <v>810000</v>
      </c>
      <c r="U49" s="14" t="n">
        <f aca="false">VLOOKUP(F49,Backbones!$A$2:$G$5,6,FALSE())</f>
        <v>0.6</v>
      </c>
      <c r="V49" s="15" t="n">
        <f aca="false">T49/1000000*U49</f>
        <v>0.486</v>
      </c>
      <c r="W49" s="11" t="s">
        <v>59</v>
      </c>
    </row>
    <row r="50" customFormat="false" ht="15" hidden="false" customHeight="false" outlineLevel="0" collapsed="false">
      <c r="A50" s="6" t="s">
        <v>116</v>
      </c>
      <c r="B50" s="6" t="s">
        <v>50</v>
      </c>
      <c r="C50" s="6" t="s">
        <v>51</v>
      </c>
      <c r="D50" s="6" t="s">
        <v>52</v>
      </c>
      <c r="E50" s="6" t="s">
        <v>117</v>
      </c>
      <c r="F50" s="6" t="s">
        <v>54</v>
      </c>
      <c r="G50" s="6" t="s">
        <v>55</v>
      </c>
      <c r="H50" s="6" t="n">
        <v>42</v>
      </c>
      <c r="I50" s="6" t="s">
        <v>56</v>
      </c>
      <c r="J50" s="6"/>
      <c r="K50" s="6"/>
      <c r="L50" s="6"/>
      <c r="M50" s="6" t="s">
        <v>57</v>
      </c>
      <c r="N50" s="6" t="s">
        <v>58</v>
      </c>
      <c r="O50" s="6" t="s">
        <v>58</v>
      </c>
      <c r="P50" s="6" t="s">
        <v>92</v>
      </c>
      <c r="Q50" s="7" t="n">
        <f aca="false">VLOOKUP(E50,Conditions!$A$2:$I$13,6,FALSE())</f>
        <v>1</v>
      </c>
      <c r="R50" s="8" t="n">
        <f aca="false">VLOOKUP(G50,Benchmarks!$A$2:$I$9,5,FALSE())</f>
        <v>1089</v>
      </c>
      <c r="S50" s="8" t="n">
        <f aca="false">VLOOKUP(G50,Benchmarks!$A$2:$I$9,6,FALSE())</f>
        <v>4500</v>
      </c>
      <c r="T50" s="8" t="n">
        <f aca="false">R50*S50*Q50</f>
        <v>4900500</v>
      </c>
      <c r="U50" s="9" t="n">
        <f aca="false">VLOOKUP(F50,Backbones!$A$2:$G$5,6,FALSE())</f>
        <v>0.6</v>
      </c>
      <c r="V50" s="10" t="n">
        <f aca="false">T50/1000000*U50</f>
        <v>2.9403</v>
      </c>
      <c r="W50" s="6" t="s">
        <v>59</v>
      </c>
      <c r="X50" s="6"/>
      <c r="Y50" s="6"/>
    </row>
    <row r="51" customFormat="false" ht="15" hidden="false" customHeight="false" outlineLevel="0" collapsed="false">
      <c r="A51" s="0" t="s">
        <v>118</v>
      </c>
      <c r="B51" s="11" t="s">
        <v>50</v>
      </c>
      <c r="C51" s="0" t="s">
        <v>51</v>
      </c>
      <c r="D51" s="0" t="s">
        <v>52</v>
      </c>
      <c r="E51" s="0" t="s">
        <v>117</v>
      </c>
      <c r="F51" s="0" t="s">
        <v>54</v>
      </c>
      <c r="G51" s="0" t="s">
        <v>55</v>
      </c>
      <c r="H51" s="0" t="n">
        <v>123</v>
      </c>
      <c r="I51" s="11" t="s">
        <v>56</v>
      </c>
      <c r="M51" s="0" t="s">
        <v>57</v>
      </c>
      <c r="N51" s="0" t="s">
        <v>58</v>
      </c>
      <c r="O51" s="0" t="s">
        <v>58</v>
      </c>
      <c r="P51" s="0" t="s">
        <v>92</v>
      </c>
      <c r="Q51" s="12" t="n">
        <f aca="false">VLOOKUP(E51,Conditions!$A$2:$I$13,6,FALSE())</f>
        <v>1</v>
      </c>
      <c r="R51" s="13" t="n">
        <f aca="false">VLOOKUP(G51,Benchmarks!$A$2:$I$9,5,FALSE())</f>
        <v>1089</v>
      </c>
      <c r="S51" s="13" t="n">
        <f aca="false">VLOOKUP(G51,Benchmarks!$A$2:$I$9,6,FALSE())</f>
        <v>4500</v>
      </c>
      <c r="T51" s="13" t="n">
        <f aca="false">R51*S51*Q51</f>
        <v>4900500</v>
      </c>
      <c r="U51" s="14" t="n">
        <f aca="false">VLOOKUP(F51,Backbones!$A$2:$G$5,6,FALSE())</f>
        <v>0.6</v>
      </c>
      <c r="V51" s="15" t="n">
        <f aca="false">T51/1000000*U51</f>
        <v>2.9403</v>
      </c>
      <c r="W51" s="11" t="s">
        <v>59</v>
      </c>
    </row>
    <row r="52" customFormat="false" ht="15" hidden="false" customHeight="false" outlineLevel="0" collapsed="false">
      <c r="A52" s="6" t="s">
        <v>119</v>
      </c>
      <c r="B52" s="6" t="s">
        <v>50</v>
      </c>
      <c r="C52" s="6" t="s">
        <v>51</v>
      </c>
      <c r="D52" s="6" t="s">
        <v>52</v>
      </c>
      <c r="E52" s="6" t="s">
        <v>117</v>
      </c>
      <c r="F52" s="6" t="s">
        <v>54</v>
      </c>
      <c r="G52" s="6" t="s">
        <v>55</v>
      </c>
      <c r="H52" s="6" t="n">
        <v>7</v>
      </c>
      <c r="I52" s="6" t="s">
        <v>56</v>
      </c>
      <c r="J52" s="6"/>
      <c r="K52" s="6"/>
      <c r="L52" s="6"/>
      <c r="M52" s="6" t="s">
        <v>57</v>
      </c>
      <c r="N52" s="6" t="s">
        <v>58</v>
      </c>
      <c r="O52" s="6" t="s">
        <v>58</v>
      </c>
      <c r="P52" s="6" t="s">
        <v>92</v>
      </c>
      <c r="Q52" s="7" t="n">
        <f aca="false">VLOOKUP(E52,Conditions!$A$2:$I$13,6,FALSE())</f>
        <v>1</v>
      </c>
      <c r="R52" s="8" t="n">
        <f aca="false">VLOOKUP(G52,Benchmarks!$A$2:$I$9,5,FALSE())</f>
        <v>1089</v>
      </c>
      <c r="S52" s="8" t="n">
        <f aca="false">VLOOKUP(G52,Benchmarks!$A$2:$I$9,6,FALSE())</f>
        <v>4500</v>
      </c>
      <c r="T52" s="8" t="n">
        <f aca="false">R52*S52*Q52</f>
        <v>4900500</v>
      </c>
      <c r="U52" s="9" t="n">
        <f aca="false">VLOOKUP(F52,Backbones!$A$2:$G$5,6,FALSE())</f>
        <v>0.6</v>
      </c>
      <c r="V52" s="10" t="n">
        <f aca="false">T52/1000000*U52</f>
        <v>2.9403</v>
      </c>
      <c r="W52" s="6" t="s">
        <v>59</v>
      </c>
      <c r="X52" s="6"/>
      <c r="Y52" s="6"/>
    </row>
    <row r="53" customFormat="false" ht="15" hidden="false" customHeight="false" outlineLevel="0" collapsed="false">
      <c r="A53" s="0" t="s">
        <v>120</v>
      </c>
      <c r="B53" s="11" t="s">
        <v>50</v>
      </c>
      <c r="C53" s="0" t="s">
        <v>51</v>
      </c>
      <c r="D53" s="0" t="s">
        <v>52</v>
      </c>
      <c r="E53" s="0" t="s">
        <v>117</v>
      </c>
      <c r="F53" s="0" t="s">
        <v>54</v>
      </c>
      <c r="G53" s="0" t="s">
        <v>63</v>
      </c>
      <c r="H53" s="0" t="n">
        <v>42</v>
      </c>
      <c r="I53" s="11" t="s">
        <v>56</v>
      </c>
      <c r="M53" s="0" t="s">
        <v>57</v>
      </c>
      <c r="N53" s="0" t="s">
        <v>58</v>
      </c>
      <c r="O53" s="0" t="s">
        <v>58</v>
      </c>
      <c r="P53" s="0" t="s">
        <v>92</v>
      </c>
      <c r="Q53" s="12" t="n">
        <f aca="false">VLOOKUP(E53,Conditions!$A$2:$I$13,6,FALSE())</f>
        <v>1</v>
      </c>
      <c r="R53" s="13" t="n">
        <f aca="false">VLOOKUP(G53,Benchmarks!$A$2:$I$9,5,FALSE())</f>
        <v>1273</v>
      </c>
      <c r="S53" s="13" t="n">
        <f aca="false">VLOOKUP(G53,Benchmarks!$A$2:$I$9,6,FALSE())</f>
        <v>5000</v>
      </c>
      <c r="T53" s="13" t="n">
        <f aca="false">R53*S53*Q53</f>
        <v>6365000</v>
      </c>
      <c r="U53" s="14" t="n">
        <f aca="false">VLOOKUP(F53,Backbones!$A$2:$G$5,6,FALSE())</f>
        <v>0.6</v>
      </c>
      <c r="V53" s="15" t="n">
        <f aca="false">T53/1000000*U53</f>
        <v>3.819</v>
      </c>
      <c r="W53" s="11" t="s">
        <v>59</v>
      </c>
    </row>
    <row r="54" customFormat="false" ht="15" hidden="false" customHeight="false" outlineLevel="0" collapsed="false">
      <c r="A54" s="6" t="s">
        <v>121</v>
      </c>
      <c r="B54" s="6" t="s">
        <v>50</v>
      </c>
      <c r="C54" s="6" t="s">
        <v>51</v>
      </c>
      <c r="D54" s="6" t="s">
        <v>52</v>
      </c>
      <c r="E54" s="6" t="s">
        <v>117</v>
      </c>
      <c r="F54" s="6" t="s">
        <v>54</v>
      </c>
      <c r="G54" s="6" t="s">
        <v>63</v>
      </c>
      <c r="H54" s="6" t="n">
        <v>123</v>
      </c>
      <c r="I54" s="6" t="s">
        <v>56</v>
      </c>
      <c r="J54" s="6"/>
      <c r="K54" s="6"/>
      <c r="L54" s="6"/>
      <c r="M54" s="6" t="s">
        <v>57</v>
      </c>
      <c r="N54" s="6" t="s">
        <v>58</v>
      </c>
      <c r="O54" s="6" t="s">
        <v>58</v>
      </c>
      <c r="P54" s="6" t="s">
        <v>92</v>
      </c>
      <c r="Q54" s="7" t="n">
        <f aca="false">VLOOKUP(E54,Conditions!$A$2:$I$13,6,FALSE())</f>
        <v>1</v>
      </c>
      <c r="R54" s="8" t="n">
        <f aca="false">VLOOKUP(G54,Benchmarks!$A$2:$I$9,5,FALSE())</f>
        <v>1273</v>
      </c>
      <c r="S54" s="8" t="n">
        <f aca="false">VLOOKUP(G54,Benchmarks!$A$2:$I$9,6,FALSE())</f>
        <v>5000</v>
      </c>
      <c r="T54" s="8" t="n">
        <f aca="false">R54*S54*Q54</f>
        <v>6365000</v>
      </c>
      <c r="U54" s="9" t="n">
        <f aca="false">VLOOKUP(F54,Backbones!$A$2:$G$5,6,FALSE())</f>
        <v>0.6</v>
      </c>
      <c r="V54" s="10" t="n">
        <f aca="false">T54/1000000*U54</f>
        <v>3.819</v>
      </c>
      <c r="W54" s="6" t="s">
        <v>59</v>
      </c>
      <c r="X54" s="6"/>
      <c r="Y54" s="6"/>
    </row>
    <row r="55" customFormat="false" ht="15" hidden="false" customHeight="false" outlineLevel="0" collapsed="false">
      <c r="A55" s="0" t="s">
        <v>122</v>
      </c>
      <c r="B55" s="11" t="s">
        <v>50</v>
      </c>
      <c r="C55" s="0" t="s">
        <v>51</v>
      </c>
      <c r="D55" s="0" t="s">
        <v>52</v>
      </c>
      <c r="E55" s="0" t="s">
        <v>117</v>
      </c>
      <c r="F55" s="0" t="s">
        <v>54</v>
      </c>
      <c r="G55" s="0" t="s">
        <v>63</v>
      </c>
      <c r="H55" s="0" t="n">
        <v>7</v>
      </c>
      <c r="I55" s="11" t="s">
        <v>56</v>
      </c>
      <c r="M55" s="0" t="s">
        <v>57</v>
      </c>
      <c r="N55" s="0" t="s">
        <v>58</v>
      </c>
      <c r="O55" s="0" t="s">
        <v>58</v>
      </c>
      <c r="P55" s="0" t="s">
        <v>92</v>
      </c>
      <c r="Q55" s="12" t="n">
        <f aca="false">VLOOKUP(E55,Conditions!$A$2:$I$13,6,FALSE())</f>
        <v>1</v>
      </c>
      <c r="R55" s="13" t="n">
        <f aca="false">VLOOKUP(G55,Benchmarks!$A$2:$I$9,5,FALSE())</f>
        <v>1273</v>
      </c>
      <c r="S55" s="13" t="n">
        <f aca="false">VLOOKUP(G55,Benchmarks!$A$2:$I$9,6,FALSE())</f>
        <v>5000</v>
      </c>
      <c r="T55" s="13" t="n">
        <f aca="false">R55*S55*Q55</f>
        <v>6365000</v>
      </c>
      <c r="U55" s="14" t="n">
        <f aca="false">VLOOKUP(F55,Backbones!$A$2:$G$5,6,FALSE())</f>
        <v>0.6</v>
      </c>
      <c r="V55" s="15" t="n">
        <f aca="false">T55/1000000*U55</f>
        <v>3.819</v>
      </c>
      <c r="W55" s="11" t="s">
        <v>59</v>
      </c>
    </row>
    <row r="56" customFormat="false" ht="15" hidden="false" customHeight="false" outlineLevel="0" collapsed="false">
      <c r="A56" s="6" t="s">
        <v>123</v>
      </c>
      <c r="B56" s="6" t="s">
        <v>50</v>
      </c>
      <c r="C56" s="6" t="s">
        <v>51</v>
      </c>
      <c r="D56" s="6" t="s">
        <v>52</v>
      </c>
      <c r="E56" s="6" t="s">
        <v>117</v>
      </c>
      <c r="F56" s="6" t="s">
        <v>54</v>
      </c>
      <c r="G56" s="6" t="s">
        <v>67</v>
      </c>
      <c r="H56" s="6" t="n">
        <v>42</v>
      </c>
      <c r="I56" s="6" t="s">
        <v>56</v>
      </c>
      <c r="J56" s="6"/>
      <c r="K56" s="6"/>
      <c r="L56" s="6"/>
      <c r="M56" s="6" t="s">
        <v>57</v>
      </c>
      <c r="N56" s="6" t="s">
        <v>58</v>
      </c>
      <c r="O56" s="6" t="s">
        <v>58</v>
      </c>
      <c r="P56" s="6" t="s">
        <v>92</v>
      </c>
      <c r="Q56" s="7" t="n">
        <f aca="false">VLOOKUP(E56,Conditions!$A$2:$I$13,6,FALSE())</f>
        <v>1</v>
      </c>
      <c r="R56" s="8" t="n">
        <f aca="false">VLOOKUP(G56,Benchmarks!$A$2:$I$9,5,FALSE())</f>
        <v>4183</v>
      </c>
      <c r="S56" s="8" t="n">
        <f aca="false">VLOOKUP(G56,Benchmarks!$A$2:$I$9,6,FALSE())</f>
        <v>4500</v>
      </c>
      <c r="T56" s="8" t="n">
        <f aca="false">R56*S56*Q56</f>
        <v>18823500</v>
      </c>
      <c r="U56" s="9" t="n">
        <f aca="false">VLOOKUP(F56,Backbones!$A$2:$G$5,6,FALSE())</f>
        <v>0.6</v>
      </c>
      <c r="V56" s="10" t="n">
        <f aca="false">T56/1000000*U56</f>
        <v>11.2941</v>
      </c>
      <c r="W56" s="6" t="s">
        <v>59</v>
      </c>
      <c r="X56" s="6"/>
      <c r="Y56" s="6"/>
    </row>
    <row r="57" customFormat="false" ht="15" hidden="false" customHeight="false" outlineLevel="0" collapsed="false">
      <c r="A57" s="0" t="s">
        <v>124</v>
      </c>
      <c r="B57" s="11" t="s">
        <v>50</v>
      </c>
      <c r="C57" s="0" t="s">
        <v>51</v>
      </c>
      <c r="D57" s="0" t="s">
        <v>52</v>
      </c>
      <c r="E57" s="0" t="s">
        <v>117</v>
      </c>
      <c r="F57" s="0" t="s">
        <v>54</v>
      </c>
      <c r="G57" s="0" t="s">
        <v>67</v>
      </c>
      <c r="H57" s="0" t="n">
        <v>123</v>
      </c>
      <c r="I57" s="11" t="s">
        <v>56</v>
      </c>
      <c r="M57" s="0" t="s">
        <v>57</v>
      </c>
      <c r="N57" s="0" t="s">
        <v>58</v>
      </c>
      <c r="O57" s="0" t="s">
        <v>58</v>
      </c>
      <c r="P57" s="0" t="s">
        <v>92</v>
      </c>
      <c r="Q57" s="12" t="n">
        <f aca="false">VLOOKUP(E57,Conditions!$A$2:$I$13,6,FALSE())</f>
        <v>1</v>
      </c>
      <c r="R57" s="13" t="n">
        <f aca="false">VLOOKUP(G57,Benchmarks!$A$2:$I$9,5,FALSE())</f>
        <v>4183</v>
      </c>
      <c r="S57" s="13" t="n">
        <f aca="false">VLOOKUP(G57,Benchmarks!$A$2:$I$9,6,FALSE())</f>
        <v>4500</v>
      </c>
      <c r="T57" s="13" t="n">
        <f aca="false">R57*S57*Q57</f>
        <v>18823500</v>
      </c>
      <c r="U57" s="14" t="n">
        <f aca="false">VLOOKUP(F57,Backbones!$A$2:$G$5,6,FALSE())</f>
        <v>0.6</v>
      </c>
      <c r="V57" s="15" t="n">
        <f aca="false">T57/1000000*U57</f>
        <v>11.2941</v>
      </c>
      <c r="W57" s="11" t="s">
        <v>59</v>
      </c>
    </row>
    <row r="58" customFormat="false" ht="15" hidden="false" customHeight="false" outlineLevel="0" collapsed="false">
      <c r="A58" s="6" t="s">
        <v>125</v>
      </c>
      <c r="B58" s="6" t="s">
        <v>50</v>
      </c>
      <c r="C58" s="6" t="s">
        <v>51</v>
      </c>
      <c r="D58" s="6" t="s">
        <v>52</v>
      </c>
      <c r="E58" s="6" t="s">
        <v>117</v>
      </c>
      <c r="F58" s="6" t="s">
        <v>54</v>
      </c>
      <c r="G58" s="6" t="s">
        <v>67</v>
      </c>
      <c r="H58" s="6" t="n">
        <v>7</v>
      </c>
      <c r="I58" s="6" t="s">
        <v>56</v>
      </c>
      <c r="J58" s="6"/>
      <c r="K58" s="6"/>
      <c r="L58" s="6"/>
      <c r="M58" s="6" t="s">
        <v>57</v>
      </c>
      <c r="N58" s="6" t="s">
        <v>58</v>
      </c>
      <c r="O58" s="6" t="s">
        <v>58</v>
      </c>
      <c r="P58" s="6" t="s">
        <v>92</v>
      </c>
      <c r="Q58" s="7" t="n">
        <f aca="false">VLOOKUP(E58,Conditions!$A$2:$I$13,6,FALSE())</f>
        <v>1</v>
      </c>
      <c r="R58" s="8" t="n">
        <f aca="false">VLOOKUP(G58,Benchmarks!$A$2:$I$9,5,FALSE())</f>
        <v>4183</v>
      </c>
      <c r="S58" s="8" t="n">
        <f aca="false">VLOOKUP(G58,Benchmarks!$A$2:$I$9,6,FALSE())</f>
        <v>4500</v>
      </c>
      <c r="T58" s="8" t="n">
        <f aca="false">R58*S58*Q58</f>
        <v>18823500</v>
      </c>
      <c r="U58" s="9" t="n">
        <f aca="false">VLOOKUP(F58,Backbones!$A$2:$G$5,6,FALSE())</f>
        <v>0.6</v>
      </c>
      <c r="V58" s="10" t="n">
        <f aca="false">T58/1000000*U58</f>
        <v>11.2941</v>
      </c>
      <c r="W58" s="6" t="s">
        <v>59</v>
      </c>
      <c r="X58" s="6"/>
      <c r="Y58" s="6"/>
    </row>
    <row r="59" customFormat="false" ht="15" hidden="false" customHeight="false" outlineLevel="0" collapsed="false">
      <c r="A59" s="0" t="s">
        <v>126</v>
      </c>
      <c r="B59" s="11" t="s">
        <v>50</v>
      </c>
      <c r="C59" s="0" t="s">
        <v>51</v>
      </c>
      <c r="D59" s="0" t="s">
        <v>52</v>
      </c>
      <c r="E59" s="0" t="s">
        <v>117</v>
      </c>
      <c r="F59" s="0" t="s">
        <v>54</v>
      </c>
      <c r="G59" s="0" t="s">
        <v>71</v>
      </c>
      <c r="H59" s="0" t="n">
        <v>42</v>
      </c>
      <c r="I59" s="11" t="s">
        <v>56</v>
      </c>
      <c r="M59" s="0" t="s">
        <v>57</v>
      </c>
      <c r="N59" s="0" t="s">
        <v>58</v>
      </c>
      <c r="O59" s="0" t="s">
        <v>58</v>
      </c>
      <c r="P59" s="0" t="s">
        <v>92</v>
      </c>
      <c r="Q59" s="12" t="n">
        <f aca="false">VLOOKUP(E59,Conditions!$A$2:$I$13,6,FALSE())</f>
        <v>1</v>
      </c>
      <c r="R59" s="13" t="n">
        <f aca="false">VLOOKUP(G59,Benchmarks!$A$2:$I$9,5,FALSE())</f>
        <v>500</v>
      </c>
      <c r="S59" s="13" t="n">
        <f aca="false">VLOOKUP(G59,Benchmarks!$A$2:$I$9,6,FALSE())</f>
        <v>5500</v>
      </c>
      <c r="T59" s="13" t="n">
        <f aca="false">R59*S59*Q59</f>
        <v>2750000</v>
      </c>
      <c r="U59" s="14" t="n">
        <f aca="false">VLOOKUP(F59,Backbones!$A$2:$G$5,6,FALSE())</f>
        <v>0.6</v>
      </c>
      <c r="V59" s="15" t="n">
        <f aca="false">T59/1000000*U59</f>
        <v>1.65</v>
      </c>
      <c r="W59" s="11" t="s">
        <v>59</v>
      </c>
    </row>
    <row r="60" customFormat="false" ht="15" hidden="false" customHeight="false" outlineLevel="0" collapsed="false">
      <c r="A60" s="6" t="s">
        <v>127</v>
      </c>
      <c r="B60" s="6" t="s">
        <v>50</v>
      </c>
      <c r="C60" s="6" t="s">
        <v>51</v>
      </c>
      <c r="D60" s="6" t="s">
        <v>52</v>
      </c>
      <c r="E60" s="6" t="s">
        <v>117</v>
      </c>
      <c r="F60" s="6" t="s">
        <v>54</v>
      </c>
      <c r="G60" s="6" t="s">
        <v>71</v>
      </c>
      <c r="H60" s="6" t="n">
        <v>123</v>
      </c>
      <c r="I60" s="6" t="s">
        <v>56</v>
      </c>
      <c r="J60" s="6"/>
      <c r="K60" s="6"/>
      <c r="L60" s="6"/>
      <c r="M60" s="6" t="s">
        <v>57</v>
      </c>
      <c r="N60" s="6" t="s">
        <v>58</v>
      </c>
      <c r="O60" s="6" t="s">
        <v>58</v>
      </c>
      <c r="P60" s="6" t="s">
        <v>92</v>
      </c>
      <c r="Q60" s="7" t="n">
        <f aca="false">VLOOKUP(E60,Conditions!$A$2:$I$13,6,FALSE())</f>
        <v>1</v>
      </c>
      <c r="R60" s="8" t="n">
        <f aca="false">VLOOKUP(G60,Benchmarks!$A$2:$I$9,5,FALSE())</f>
        <v>500</v>
      </c>
      <c r="S60" s="8" t="n">
        <f aca="false">VLOOKUP(G60,Benchmarks!$A$2:$I$9,6,FALSE())</f>
        <v>5500</v>
      </c>
      <c r="T60" s="8" t="n">
        <f aca="false">R60*S60*Q60</f>
        <v>2750000</v>
      </c>
      <c r="U60" s="9" t="n">
        <f aca="false">VLOOKUP(F60,Backbones!$A$2:$G$5,6,FALSE())</f>
        <v>0.6</v>
      </c>
      <c r="V60" s="10" t="n">
        <f aca="false">T60/1000000*U60</f>
        <v>1.65</v>
      </c>
      <c r="W60" s="6" t="s">
        <v>59</v>
      </c>
      <c r="X60" s="6"/>
      <c r="Y60" s="6"/>
    </row>
    <row r="61" customFormat="false" ht="15" hidden="false" customHeight="false" outlineLevel="0" collapsed="false">
      <c r="A61" s="0" t="s">
        <v>128</v>
      </c>
      <c r="B61" s="11" t="s">
        <v>50</v>
      </c>
      <c r="C61" s="0" t="s">
        <v>51</v>
      </c>
      <c r="D61" s="0" t="s">
        <v>52</v>
      </c>
      <c r="E61" s="0" t="s">
        <v>117</v>
      </c>
      <c r="F61" s="0" t="s">
        <v>54</v>
      </c>
      <c r="G61" s="0" t="s">
        <v>71</v>
      </c>
      <c r="H61" s="0" t="n">
        <v>7</v>
      </c>
      <c r="I61" s="11" t="s">
        <v>56</v>
      </c>
      <c r="M61" s="0" t="s">
        <v>57</v>
      </c>
      <c r="N61" s="0" t="s">
        <v>58</v>
      </c>
      <c r="O61" s="0" t="s">
        <v>58</v>
      </c>
      <c r="P61" s="0" t="s">
        <v>92</v>
      </c>
      <c r="Q61" s="12" t="n">
        <f aca="false">VLOOKUP(E61,Conditions!$A$2:$I$13,6,FALSE())</f>
        <v>1</v>
      </c>
      <c r="R61" s="13" t="n">
        <f aca="false">VLOOKUP(G61,Benchmarks!$A$2:$I$9,5,FALSE())</f>
        <v>500</v>
      </c>
      <c r="S61" s="13" t="n">
        <f aca="false">VLOOKUP(G61,Benchmarks!$A$2:$I$9,6,FALSE())</f>
        <v>5500</v>
      </c>
      <c r="T61" s="13" t="n">
        <f aca="false">R61*S61*Q61</f>
        <v>2750000</v>
      </c>
      <c r="U61" s="14" t="n">
        <f aca="false">VLOOKUP(F61,Backbones!$A$2:$G$5,6,FALSE())</f>
        <v>0.6</v>
      </c>
      <c r="V61" s="15" t="n">
        <f aca="false">T61/1000000*U61</f>
        <v>1.65</v>
      </c>
      <c r="W61" s="11" t="s">
        <v>59</v>
      </c>
    </row>
    <row r="62" customFormat="false" ht="15" hidden="false" customHeight="false" outlineLevel="0" collapsed="false">
      <c r="A62" s="6" t="s">
        <v>129</v>
      </c>
      <c r="B62" s="6" t="s">
        <v>50</v>
      </c>
      <c r="C62" s="6" t="s">
        <v>51</v>
      </c>
      <c r="D62" s="6" t="s">
        <v>52</v>
      </c>
      <c r="E62" s="6" t="s">
        <v>117</v>
      </c>
      <c r="F62" s="6" t="s">
        <v>54</v>
      </c>
      <c r="G62" s="6" t="s">
        <v>75</v>
      </c>
      <c r="H62" s="6" t="n">
        <v>42</v>
      </c>
      <c r="I62" s="6" t="s">
        <v>56</v>
      </c>
      <c r="J62" s="6"/>
      <c r="K62" s="6"/>
      <c r="L62" s="6"/>
      <c r="M62" s="6" t="s">
        <v>57</v>
      </c>
      <c r="N62" s="6" t="s">
        <v>58</v>
      </c>
      <c r="O62" s="6" t="s">
        <v>58</v>
      </c>
      <c r="P62" s="6" t="s">
        <v>92</v>
      </c>
      <c r="Q62" s="7" t="n">
        <f aca="false">VLOOKUP(E62,Conditions!$A$2:$I$13,6,FALSE())</f>
        <v>1</v>
      </c>
      <c r="R62" s="8" t="n">
        <f aca="false">VLOOKUP(G62,Benchmarks!$A$2:$I$9,5,FALSE())</f>
        <v>618</v>
      </c>
      <c r="S62" s="8" t="n">
        <f aca="false">VLOOKUP(G62,Benchmarks!$A$2:$I$9,6,FALSE())</f>
        <v>5000</v>
      </c>
      <c r="T62" s="8" t="n">
        <f aca="false">R62*S62*Q62</f>
        <v>3090000</v>
      </c>
      <c r="U62" s="9" t="n">
        <f aca="false">VLOOKUP(F62,Backbones!$A$2:$G$5,6,FALSE())</f>
        <v>0.6</v>
      </c>
      <c r="V62" s="10" t="n">
        <f aca="false">T62/1000000*U62</f>
        <v>1.854</v>
      </c>
      <c r="W62" s="6" t="s">
        <v>59</v>
      </c>
      <c r="X62" s="6"/>
      <c r="Y62" s="6"/>
    </row>
    <row r="63" customFormat="false" ht="15" hidden="false" customHeight="false" outlineLevel="0" collapsed="false">
      <c r="A63" s="0" t="s">
        <v>130</v>
      </c>
      <c r="B63" s="11" t="s">
        <v>50</v>
      </c>
      <c r="C63" s="0" t="s">
        <v>51</v>
      </c>
      <c r="D63" s="0" t="s">
        <v>52</v>
      </c>
      <c r="E63" s="0" t="s">
        <v>117</v>
      </c>
      <c r="F63" s="0" t="s">
        <v>54</v>
      </c>
      <c r="G63" s="0" t="s">
        <v>75</v>
      </c>
      <c r="H63" s="0" t="n">
        <v>123</v>
      </c>
      <c r="I63" s="11" t="s">
        <v>56</v>
      </c>
      <c r="M63" s="0" t="s">
        <v>57</v>
      </c>
      <c r="N63" s="0" t="s">
        <v>58</v>
      </c>
      <c r="O63" s="0" t="s">
        <v>58</v>
      </c>
      <c r="P63" s="0" t="s">
        <v>92</v>
      </c>
      <c r="Q63" s="12" t="n">
        <f aca="false">VLOOKUP(E63,Conditions!$A$2:$I$13,6,FALSE())</f>
        <v>1</v>
      </c>
      <c r="R63" s="13" t="n">
        <f aca="false">VLOOKUP(G63,Benchmarks!$A$2:$I$9,5,FALSE())</f>
        <v>618</v>
      </c>
      <c r="S63" s="13" t="n">
        <f aca="false">VLOOKUP(G63,Benchmarks!$A$2:$I$9,6,FALSE())</f>
        <v>5000</v>
      </c>
      <c r="T63" s="13" t="n">
        <f aca="false">R63*S63*Q63</f>
        <v>3090000</v>
      </c>
      <c r="U63" s="14" t="n">
        <f aca="false">VLOOKUP(F63,Backbones!$A$2:$G$5,6,FALSE())</f>
        <v>0.6</v>
      </c>
      <c r="V63" s="15" t="n">
        <f aca="false">T63/1000000*U63</f>
        <v>1.854</v>
      </c>
      <c r="W63" s="11" t="s">
        <v>59</v>
      </c>
    </row>
    <row r="64" customFormat="false" ht="15" hidden="false" customHeight="false" outlineLevel="0" collapsed="false">
      <c r="A64" s="6" t="s">
        <v>131</v>
      </c>
      <c r="B64" s="6" t="s">
        <v>50</v>
      </c>
      <c r="C64" s="6" t="s">
        <v>51</v>
      </c>
      <c r="D64" s="6" t="s">
        <v>52</v>
      </c>
      <c r="E64" s="6" t="s">
        <v>117</v>
      </c>
      <c r="F64" s="6" t="s">
        <v>54</v>
      </c>
      <c r="G64" s="6" t="s">
        <v>75</v>
      </c>
      <c r="H64" s="6" t="n">
        <v>7</v>
      </c>
      <c r="I64" s="6" t="s">
        <v>56</v>
      </c>
      <c r="J64" s="6"/>
      <c r="K64" s="6"/>
      <c r="L64" s="6"/>
      <c r="M64" s="6" t="s">
        <v>57</v>
      </c>
      <c r="N64" s="6" t="s">
        <v>58</v>
      </c>
      <c r="O64" s="6" t="s">
        <v>58</v>
      </c>
      <c r="P64" s="6" t="s">
        <v>92</v>
      </c>
      <c r="Q64" s="7" t="n">
        <f aca="false">VLOOKUP(E64,Conditions!$A$2:$I$13,6,FALSE())</f>
        <v>1</v>
      </c>
      <c r="R64" s="8" t="n">
        <f aca="false">VLOOKUP(G64,Benchmarks!$A$2:$I$9,5,FALSE())</f>
        <v>618</v>
      </c>
      <c r="S64" s="8" t="n">
        <f aca="false">VLOOKUP(G64,Benchmarks!$A$2:$I$9,6,FALSE())</f>
        <v>5000</v>
      </c>
      <c r="T64" s="8" t="n">
        <f aca="false">R64*S64*Q64</f>
        <v>3090000</v>
      </c>
      <c r="U64" s="9" t="n">
        <f aca="false">VLOOKUP(F64,Backbones!$A$2:$G$5,6,FALSE())</f>
        <v>0.6</v>
      </c>
      <c r="V64" s="10" t="n">
        <f aca="false">T64/1000000*U64</f>
        <v>1.854</v>
      </c>
      <c r="W64" s="6" t="s">
        <v>59</v>
      </c>
      <c r="X64" s="6"/>
      <c r="Y64" s="6"/>
    </row>
    <row r="65" customFormat="false" ht="15" hidden="false" customHeight="false" outlineLevel="0" collapsed="false">
      <c r="A65" s="0" t="s">
        <v>132</v>
      </c>
      <c r="B65" s="11" t="s">
        <v>50</v>
      </c>
      <c r="C65" s="0" t="s">
        <v>51</v>
      </c>
      <c r="D65" s="0" t="s">
        <v>52</v>
      </c>
      <c r="E65" s="0" t="s">
        <v>117</v>
      </c>
      <c r="F65" s="0" t="s">
        <v>54</v>
      </c>
      <c r="G65" s="0" t="s">
        <v>79</v>
      </c>
      <c r="H65" s="0" t="n">
        <v>42</v>
      </c>
      <c r="I65" s="11" t="s">
        <v>56</v>
      </c>
      <c r="M65" s="0" t="s">
        <v>57</v>
      </c>
      <c r="N65" s="0" t="s">
        <v>58</v>
      </c>
      <c r="O65" s="0" t="s">
        <v>58</v>
      </c>
      <c r="P65" s="0" t="s">
        <v>92</v>
      </c>
      <c r="Q65" s="12" t="n">
        <f aca="false">VLOOKUP(E65,Conditions!$A$2:$I$13,6,FALSE())</f>
        <v>1</v>
      </c>
      <c r="R65" s="13" t="n">
        <f aca="false">VLOOKUP(G65,Benchmarks!$A$2:$I$9,5,FALSE())</f>
        <v>50</v>
      </c>
      <c r="S65" s="13" t="n">
        <f aca="false">VLOOKUP(G65,Benchmarks!$A$2:$I$9,6,FALSE())</f>
        <v>8000</v>
      </c>
      <c r="T65" s="13" t="n">
        <f aca="false">R65*S65*Q65</f>
        <v>400000</v>
      </c>
      <c r="U65" s="14" t="n">
        <f aca="false">VLOOKUP(F65,Backbones!$A$2:$G$5,6,FALSE())</f>
        <v>0.6</v>
      </c>
      <c r="V65" s="15" t="n">
        <f aca="false">T65/1000000*U65</f>
        <v>0.24</v>
      </c>
      <c r="W65" s="11" t="s">
        <v>59</v>
      </c>
    </row>
    <row r="66" customFormat="false" ht="15" hidden="false" customHeight="false" outlineLevel="0" collapsed="false">
      <c r="A66" s="6" t="s">
        <v>133</v>
      </c>
      <c r="B66" s="6" t="s">
        <v>50</v>
      </c>
      <c r="C66" s="6" t="s">
        <v>51</v>
      </c>
      <c r="D66" s="6" t="s">
        <v>52</v>
      </c>
      <c r="E66" s="6" t="s">
        <v>117</v>
      </c>
      <c r="F66" s="6" t="s">
        <v>54</v>
      </c>
      <c r="G66" s="6" t="s">
        <v>79</v>
      </c>
      <c r="H66" s="6" t="n">
        <v>123</v>
      </c>
      <c r="I66" s="6" t="s">
        <v>56</v>
      </c>
      <c r="J66" s="6"/>
      <c r="K66" s="6"/>
      <c r="L66" s="6"/>
      <c r="M66" s="6" t="s">
        <v>57</v>
      </c>
      <c r="N66" s="6" t="s">
        <v>58</v>
      </c>
      <c r="O66" s="6" t="s">
        <v>58</v>
      </c>
      <c r="P66" s="6" t="s">
        <v>92</v>
      </c>
      <c r="Q66" s="7" t="n">
        <f aca="false">VLOOKUP(E66,Conditions!$A$2:$I$13,6,FALSE())</f>
        <v>1</v>
      </c>
      <c r="R66" s="8" t="n">
        <f aca="false">VLOOKUP(G66,Benchmarks!$A$2:$I$9,5,FALSE())</f>
        <v>50</v>
      </c>
      <c r="S66" s="8" t="n">
        <f aca="false">VLOOKUP(G66,Benchmarks!$A$2:$I$9,6,FALSE())</f>
        <v>8000</v>
      </c>
      <c r="T66" s="8" t="n">
        <f aca="false">R66*S66*Q66</f>
        <v>400000</v>
      </c>
      <c r="U66" s="9" t="n">
        <f aca="false">VLOOKUP(F66,Backbones!$A$2:$G$5,6,FALSE())</f>
        <v>0.6</v>
      </c>
      <c r="V66" s="10" t="n">
        <f aca="false">T66/1000000*U66</f>
        <v>0.24</v>
      </c>
      <c r="W66" s="6" t="s">
        <v>59</v>
      </c>
      <c r="X66" s="6"/>
      <c r="Y66" s="6"/>
    </row>
    <row r="67" customFormat="false" ht="15" hidden="false" customHeight="false" outlineLevel="0" collapsed="false">
      <c r="A67" s="0" t="s">
        <v>134</v>
      </c>
      <c r="B67" s="11" t="s">
        <v>50</v>
      </c>
      <c r="C67" s="0" t="s">
        <v>51</v>
      </c>
      <c r="D67" s="0" t="s">
        <v>52</v>
      </c>
      <c r="E67" s="0" t="s">
        <v>117</v>
      </c>
      <c r="F67" s="0" t="s">
        <v>54</v>
      </c>
      <c r="G67" s="0" t="s">
        <v>79</v>
      </c>
      <c r="H67" s="0" t="n">
        <v>7</v>
      </c>
      <c r="I67" s="11" t="s">
        <v>56</v>
      </c>
      <c r="M67" s="0" t="s">
        <v>57</v>
      </c>
      <c r="N67" s="0" t="s">
        <v>58</v>
      </c>
      <c r="O67" s="0" t="s">
        <v>58</v>
      </c>
      <c r="P67" s="0" t="s">
        <v>92</v>
      </c>
      <c r="Q67" s="12" t="n">
        <f aca="false">VLOOKUP(E67,Conditions!$A$2:$I$13,6,FALSE())</f>
        <v>1</v>
      </c>
      <c r="R67" s="13" t="n">
        <f aca="false">VLOOKUP(G67,Benchmarks!$A$2:$I$9,5,FALSE())</f>
        <v>50</v>
      </c>
      <c r="S67" s="13" t="n">
        <f aca="false">VLOOKUP(G67,Benchmarks!$A$2:$I$9,6,FALSE())</f>
        <v>8000</v>
      </c>
      <c r="T67" s="13" t="n">
        <f aca="false">R67*S67*Q67</f>
        <v>400000</v>
      </c>
      <c r="U67" s="14" t="n">
        <f aca="false">VLOOKUP(F67,Backbones!$A$2:$G$5,6,FALSE())</f>
        <v>0.6</v>
      </c>
      <c r="V67" s="15" t="n">
        <f aca="false">T67/1000000*U67</f>
        <v>0.24</v>
      </c>
      <c r="W67" s="11" t="s">
        <v>59</v>
      </c>
    </row>
    <row r="68" customFormat="false" ht="15" hidden="false" customHeight="false" outlineLevel="0" collapsed="false">
      <c r="A68" s="6" t="s">
        <v>135</v>
      </c>
      <c r="B68" s="6" t="s">
        <v>50</v>
      </c>
      <c r="C68" s="6" t="s">
        <v>51</v>
      </c>
      <c r="D68" s="6" t="s">
        <v>52</v>
      </c>
      <c r="E68" s="6" t="s">
        <v>117</v>
      </c>
      <c r="F68" s="6" t="s">
        <v>54</v>
      </c>
      <c r="G68" s="6" t="s">
        <v>83</v>
      </c>
      <c r="H68" s="6" t="n">
        <v>42</v>
      </c>
      <c r="I68" s="6" t="s">
        <v>56</v>
      </c>
      <c r="J68" s="6"/>
      <c r="K68" s="6"/>
      <c r="L68" s="6"/>
      <c r="M68" s="6" t="s">
        <v>57</v>
      </c>
      <c r="N68" s="6" t="s">
        <v>58</v>
      </c>
      <c r="O68" s="6" t="s">
        <v>58</v>
      </c>
      <c r="P68" s="6" t="s">
        <v>92</v>
      </c>
      <c r="Q68" s="7" t="n">
        <f aca="false">VLOOKUP(E68,Conditions!$A$2:$I$13,6,FALSE())</f>
        <v>1</v>
      </c>
      <c r="R68" s="8" t="n">
        <f aca="false">VLOOKUP(G68,Benchmarks!$A$2:$I$9,5,FALSE())</f>
        <v>200</v>
      </c>
      <c r="S68" s="8" t="n">
        <f aca="false">VLOOKUP(G68,Benchmarks!$A$2:$I$9,6,FALSE())</f>
        <v>8000</v>
      </c>
      <c r="T68" s="8" t="n">
        <f aca="false">R68*S68*Q68</f>
        <v>1600000</v>
      </c>
      <c r="U68" s="9" t="n">
        <f aca="false">VLOOKUP(F68,Backbones!$A$2:$G$5,6,FALSE())</f>
        <v>0.6</v>
      </c>
      <c r="V68" s="10" t="n">
        <f aca="false">T68/1000000*U68</f>
        <v>0.96</v>
      </c>
      <c r="W68" s="6" t="s">
        <v>59</v>
      </c>
      <c r="X68" s="6"/>
      <c r="Y68" s="6"/>
    </row>
    <row r="69" customFormat="false" ht="15" hidden="false" customHeight="false" outlineLevel="0" collapsed="false">
      <c r="A69" s="0" t="s">
        <v>136</v>
      </c>
      <c r="B69" s="11" t="s">
        <v>50</v>
      </c>
      <c r="C69" s="0" t="s">
        <v>51</v>
      </c>
      <c r="D69" s="0" t="s">
        <v>52</v>
      </c>
      <c r="E69" s="0" t="s">
        <v>117</v>
      </c>
      <c r="F69" s="0" t="s">
        <v>54</v>
      </c>
      <c r="G69" s="0" t="s">
        <v>83</v>
      </c>
      <c r="H69" s="0" t="n">
        <v>123</v>
      </c>
      <c r="I69" s="11" t="s">
        <v>56</v>
      </c>
      <c r="M69" s="0" t="s">
        <v>57</v>
      </c>
      <c r="N69" s="0" t="s">
        <v>58</v>
      </c>
      <c r="O69" s="0" t="s">
        <v>58</v>
      </c>
      <c r="P69" s="0" t="s">
        <v>92</v>
      </c>
      <c r="Q69" s="12" t="n">
        <f aca="false">VLOOKUP(E69,Conditions!$A$2:$I$13,6,FALSE())</f>
        <v>1</v>
      </c>
      <c r="R69" s="13" t="n">
        <f aca="false">VLOOKUP(G69,Benchmarks!$A$2:$I$9,5,FALSE())</f>
        <v>200</v>
      </c>
      <c r="S69" s="13" t="n">
        <f aca="false">VLOOKUP(G69,Benchmarks!$A$2:$I$9,6,FALSE())</f>
        <v>8000</v>
      </c>
      <c r="T69" s="13" t="n">
        <f aca="false">R69*S69*Q69</f>
        <v>1600000</v>
      </c>
      <c r="U69" s="14" t="n">
        <f aca="false">VLOOKUP(F69,Backbones!$A$2:$G$5,6,FALSE())</f>
        <v>0.6</v>
      </c>
      <c r="V69" s="15" t="n">
        <f aca="false">T69/1000000*U69</f>
        <v>0.96</v>
      </c>
      <c r="W69" s="11" t="s">
        <v>59</v>
      </c>
    </row>
    <row r="70" customFormat="false" ht="15" hidden="false" customHeight="false" outlineLevel="0" collapsed="false">
      <c r="A70" s="6" t="s">
        <v>137</v>
      </c>
      <c r="B70" s="6" t="s">
        <v>50</v>
      </c>
      <c r="C70" s="6" t="s">
        <v>51</v>
      </c>
      <c r="D70" s="6" t="s">
        <v>52</v>
      </c>
      <c r="E70" s="6" t="s">
        <v>117</v>
      </c>
      <c r="F70" s="6" t="s">
        <v>54</v>
      </c>
      <c r="G70" s="6" t="s">
        <v>83</v>
      </c>
      <c r="H70" s="6" t="n">
        <v>7</v>
      </c>
      <c r="I70" s="6" t="s">
        <v>56</v>
      </c>
      <c r="J70" s="6"/>
      <c r="K70" s="6"/>
      <c r="L70" s="6"/>
      <c r="M70" s="6" t="s">
        <v>57</v>
      </c>
      <c r="N70" s="6" t="s">
        <v>58</v>
      </c>
      <c r="O70" s="6" t="s">
        <v>58</v>
      </c>
      <c r="P70" s="6" t="s">
        <v>92</v>
      </c>
      <c r="Q70" s="7" t="n">
        <f aca="false">VLOOKUP(E70,Conditions!$A$2:$I$13,6,FALSE())</f>
        <v>1</v>
      </c>
      <c r="R70" s="8" t="n">
        <f aca="false">VLOOKUP(G70,Benchmarks!$A$2:$I$9,5,FALSE())</f>
        <v>200</v>
      </c>
      <c r="S70" s="8" t="n">
        <f aca="false">VLOOKUP(G70,Benchmarks!$A$2:$I$9,6,FALSE())</f>
        <v>8000</v>
      </c>
      <c r="T70" s="8" t="n">
        <f aca="false">R70*S70*Q70</f>
        <v>1600000</v>
      </c>
      <c r="U70" s="9" t="n">
        <f aca="false">VLOOKUP(F70,Backbones!$A$2:$G$5,6,FALSE())</f>
        <v>0.6</v>
      </c>
      <c r="V70" s="10" t="n">
        <f aca="false">T70/1000000*U70</f>
        <v>0.96</v>
      </c>
      <c r="W70" s="6" t="s">
        <v>59</v>
      </c>
      <c r="X70" s="6"/>
      <c r="Y70" s="6"/>
    </row>
    <row r="71" customFormat="false" ht="15" hidden="false" customHeight="false" outlineLevel="0" collapsed="false">
      <c r="A71" s="0" t="s">
        <v>138</v>
      </c>
      <c r="B71" s="11" t="s">
        <v>50</v>
      </c>
      <c r="C71" s="0" t="s">
        <v>51</v>
      </c>
      <c r="D71" s="0" t="s">
        <v>52</v>
      </c>
      <c r="E71" s="0" t="s">
        <v>117</v>
      </c>
      <c r="F71" s="0" t="s">
        <v>54</v>
      </c>
      <c r="G71" s="0" t="s">
        <v>87</v>
      </c>
      <c r="H71" s="0" t="n">
        <v>42</v>
      </c>
      <c r="I71" s="11" t="s">
        <v>56</v>
      </c>
      <c r="M71" s="0" t="s">
        <v>57</v>
      </c>
      <c r="N71" s="0" t="s">
        <v>58</v>
      </c>
      <c r="O71" s="0" t="s">
        <v>58</v>
      </c>
      <c r="P71" s="0" t="s">
        <v>92</v>
      </c>
      <c r="Q71" s="12" t="n">
        <f aca="false">VLOOKUP(E71,Conditions!$A$2:$I$13,6,FALSE())</f>
        <v>1</v>
      </c>
      <c r="R71" s="13" t="n">
        <f aca="false">VLOOKUP(G71,Benchmarks!$A$2:$I$9,5,FALSE())</f>
        <v>150</v>
      </c>
      <c r="S71" s="13" t="n">
        <f aca="false">VLOOKUP(G71,Benchmarks!$A$2:$I$9,6,FALSE())</f>
        <v>6000</v>
      </c>
      <c r="T71" s="13" t="n">
        <f aca="false">R71*S71*Q71</f>
        <v>900000</v>
      </c>
      <c r="U71" s="14" t="n">
        <f aca="false">VLOOKUP(F71,Backbones!$A$2:$G$5,6,FALSE())</f>
        <v>0.6</v>
      </c>
      <c r="V71" s="15" t="n">
        <f aca="false">T71/1000000*U71</f>
        <v>0.54</v>
      </c>
      <c r="W71" s="11" t="s">
        <v>59</v>
      </c>
    </row>
    <row r="72" customFormat="false" ht="15" hidden="false" customHeight="false" outlineLevel="0" collapsed="false">
      <c r="A72" s="6" t="s">
        <v>139</v>
      </c>
      <c r="B72" s="6" t="s">
        <v>50</v>
      </c>
      <c r="C72" s="6" t="s">
        <v>51</v>
      </c>
      <c r="D72" s="6" t="s">
        <v>52</v>
      </c>
      <c r="E72" s="6" t="s">
        <v>117</v>
      </c>
      <c r="F72" s="6" t="s">
        <v>54</v>
      </c>
      <c r="G72" s="6" t="s">
        <v>87</v>
      </c>
      <c r="H72" s="6" t="n">
        <v>123</v>
      </c>
      <c r="I72" s="6" t="s">
        <v>56</v>
      </c>
      <c r="J72" s="6"/>
      <c r="K72" s="6"/>
      <c r="L72" s="6"/>
      <c r="M72" s="6" t="s">
        <v>57</v>
      </c>
      <c r="N72" s="6" t="s">
        <v>58</v>
      </c>
      <c r="O72" s="6" t="s">
        <v>58</v>
      </c>
      <c r="P72" s="6" t="s">
        <v>92</v>
      </c>
      <c r="Q72" s="7" t="n">
        <f aca="false">VLOOKUP(E72,Conditions!$A$2:$I$13,6,FALSE())</f>
        <v>1</v>
      </c>
      <c r="R72" s="8" t="n">
        <f aca="false">VLOOKUP(G72,Benchmarks!$A$2:$I$9,5,FALSE())</f>
        <v>150</v>
      </c>
      <c r="S72" s="8" t="n">
        <f aca="false">VLOOKUP(G72,Benchmarks!$A$2:$I$9,6,FALSE())</f>
        <v>6000</v>
      </c>
      <c r="T72" s="8" t="n">
        <f aca="false">R72*S72*Q72</f>
        <v>900000</v>
      </c>
      <c r="U72" s="9" t="n">
        <f aca="false">VLOOKUP(F72,Backbones!$A$2:$G$5,6,FALSE())</f>
        <v>0.6</v>
      </c>
      <c r="V72" s="10" t="n">
        <f aca="false">T72/1000000*U72</f>
        <v>0.54</v>
      </c>
      <c r="W72" s="6" t="s">
        <v>59</v>
      </c>
      <c r="X72" s="6"/>
      <c r="Y72" s="6"/>
    </row>
    <row r="73" customFormat="false" ht="15" hidden="false" customHeight="false" outlineLevel="0" collapsed="false">
      <c r="A73" s="0" t="s">
        <v>140</v>
      </c>
      <c r="B73" s="11" t="s">
        <v>50</v>
      </c>
      <c r="C73" s="0" t="s">
        <v>51</v>
      </c>
      <c r="D73" s="0" t="s">
        <v>52</v>
      </c>
      <c r="E73" s="0" t="s">
        <v>117</v>
      </c>
      <c r="F73" s="0" t="s">
        <v>54</v>
      </c>
      <c r="G73" s="0" t="s">
        <v>87</v>
      </c>
      <c r="H73" s="0" t="n">
        <v>7</v>
      </c>
      <c r="I73" s="11" t="s">
        <v>56</v>
      </c>
      <c r="M73" s="0" t="s">
        <v>57</v>
      </c>
      <c r="N73" s="0" t="s">
        <v>58</v>
      </c>
      <c r="O73" s="0" t="s">
        <v>58</v>
      </c>
      <c r="P73" s="0" t="s">
        <v>92</v>
      </c>
      <c r="Q73" s="12" t="n">
        <f aca="false">VLOOKUP(E73,Conditions!$A$2:$I$13,6,FALSE())</f>
        <v>1</v>
      </c>
      <c r="R73" s="13" t="n">
        <f aca="false">VLOOKUP(G73,Benchmarks!$A$2:$I$9,5,FALSE())</f>
        <v>150</v>
      </c>
      <c r="S73" s="13" t="n">
        <f aca="false">VLOOKUP(G73,Benchmarks!$A$2:$I$9,6,FALSE())</f>
        <v>6000</v>
      </c>
      <c r="T73" s="13" t="n">
        <f aca="false">R73*S73*Q73</f>
        <v>900000</v>
      </c>
      <c r="U73" s="14" t="n">
        <f aca="false">VLOOKUP(F73,Backbones!$A$2:$G$5,6,FALSE())</f>
        <v>0.6</v>
      </c>
      <c r="V73" s="15" t="n">
        <f aca="false">T73/1000000*U73</f>
        <v>0.54</v>
      </c>
      <c r="W73" s="11" t="s">
        <v>59</v>
      </c>
    </row>
    <row r="74" customFormat="false" ht="15" hidden="false" customHeight="false" outlineLevel="0" collapsed="false">
      <c r="A74" s="6" t="s">
        <v>141</v>
      </c>
      <c r="B74" s="6" t="s">
        <v>50</v>
      </c>
      <c r="C74" s="6" t="s">
        <v>51</v>
      </c>
      <c r="D74" s="6" t="s">
        <v>52</v>
      </c>
      <c r="E74" s="6" t="s">
        <v>142</v>
      </c>
      <c r="F74" s="6" t="s">
        <v>54</v>
      </c>
      <c r="G74" s="6" t="s">
        <v>55</v>
      </c>
      <c r="H74" s="6" t="n">
        <v>42</v>
      </c>
      <c r="I74" s="6" t="s">
        <v>56</v>
      </c>
      <c r="J74" s="6"/>
      <c r="K74" s="6"/>
      <c r="L74" s="6"/>
      <c r="M74" s="6" t="s">
        <v>57</v>
      </c>
      <c r="N74" s="6" t="s">
        <v>58</v>
      </c>
      <c r="O74" s="6" t="s">
        <v>143</v>
      </c>
      <c r="P74" s="6" t="s">
        <v>144</v>
      </c>
      <c r="Q74" s="7" t="n">
        <f aca="false">VLOOKUP(E74,Conditions!$A$2:$I$13,6,FALSE())</f>
        <v>0.7</v>
      </c>
      <c r="R74" s="8" t="n">
        <f aca="false">VLOOKUP(G74,Benchmarks!$A$2:$I$9,5,FALSE())</f>
        <v>1089</v>
      </c>
      <c r="S74" s="8" t="n">
        <f aca="false">VLOOKUP(G74,Benchmarks!$A$2:$I$9,6,FALSE())</f>
        <v>4500</v>
      </c>
      <c r="T74" s="8" t="n">
        <f aca="false">R74*S74*Q74</f>
        <v>3430350</v>
      </c>
      <c r="U74" s="9" t="n">
        <f aca="false">VLOOKUP(F74,Backbones!$A$2:$G$5,6,FALSE())</f>
        <v>0.6</v>
      </c>
      <c r="V74" s="10" t="n">
        <f aca="false">T74/1000000*U74</f>
        <v>2.05821</v>
      </c>
      <c r="W74" s="6" t="s">
        <v>145</v>
      </c>
      <c r="X74" s="6"/>
      <c r="Y74" s="6"/>
    </row>
    <row r="75" customFormat="false" ht="15" hidden="false" customHeight="false" outlineLevel="0" collapsed="false">
      <c r="A75" s="0" t="s">
        <v>146</v>
      </c>
      <c r="B75" s="11" t="s">
        <v>50</v>
      </c>
      <c r="C75" s="0" t="s">
        <v>51</v>
      </c>
      <c r="D75" s="0" t="s">
        <v>52</v>
      </c>
      <c r="E75" s="0" t="s">
        <v>142</v>
      </c>
      <c r="F75" s="0" t="s">
        <v>54</v>
      </c>
      <c r="G75" s="0" t="s">
        <v>55</v>
      </c>
      <c r="H75" s="0" t="n">
        <v>123</v>
      </c>
      <c r="I75" s="11" t="s">
        <v>56</v>
      </c>
      <c r="M75" s="0" t="s">
        <v>57</v>
      </c>
      <c r="N75" s="0" t="s">
        <v>58</v>
      </c>
      <c r="O75" s="0" t="s">
        <v>143</v>
      </c>
      <c r="P75" s="0" t="s">
        <v>144</v>
      </c>
      <c r="Q75" s="12" t="n">
        <f aca="false">VLOOKUP(E75,Conditions!$A$2:$I$13,6,FALSE())</f>
        <v>0.7</v>
      </c>
      <c r="R75" s="13" t="n">
        <f aca="false">VLOOKUP(G75,Benchmarks!$A$2:$I$9,5,FALSE())</f>
        <v>1089</v>
      </c>
      <c r="S75" s="13" t="n">
        <f aca="false">VLOOKUP(G75,Benchmarks!$A$2:$I$9,6,FALSE())</f>
        <v>4500</v>
      </c>
      <c r="T75" s="13" t="n">
        <f aca="false">R75*S75*Q75</f>
        <v>3430350</v>
      </c>
      <c r="U75" s="14" t="n">
        <f aca="false">VLOOKUP(F75,Backbones!$A$2:$G$5,6,FALSE())</f>
        <v>0.6</v>
      </c>
      <c r="V75" s="15" t="n">
        <f aca="false">T75/1000000*U75</f>
        <v>2.05821</v>
      </c>
      <c r="W75" s="11" t="s">
        <v>145</v>
      </c>
    </row>
    <row r="76" customFormat="false" ht="15" hidden="false" customHeight="false" outlineLevel="0" collapsed="false">
      <c r="A76" s="6" t="s">
        <v>147</v>
      </c>
      <c r="B76" s="6" t="s">
        <v>50</v>
      </c>
      <c r="C76" s="6" t="s">
        <v>51</v>
      </c>
      <c r="D76" s="6" t="s">
        <v>52</v>
      </c>
      <c r="E76" s="6" t="s">
        <v>142</v>
      </c>
      <c r="F76" s="6" t="s">
        <v>54</v>
      </c>
      <c r="G76" s="6" t="s">
        <v>55</v>
      </c>
      <c r="H76" s="6" t="n">
        <v>7</v>
      </c>
      <c r="I76" s="6" t="s">
        <v>56</v>
      </c>
      <c r="J76" s="6"/>
      <c r="K76" s="6"/>
      <c r="L76" s="6"/>
      <c r="M76" s="6" t="s">
        <v>57</v>
      </c>
      <c r="N76" s="6" t="s">
        <v>58</v>
      </c>
      <c r="O76" s="6" t="s">
        <v>143</v>
      </c>
      <c r="P76" s="6" t="s">
        <v>144</v>
      </c>
      <c r="Q76" s="7" t="n">
        <f aca="false">VLOOKUP(E76,Conditions!$A$2:$I$13,6,FALSE())</f>
        <v>0.7</v>
      </c>
      <c r="R76" s="8" t="n">
        <f aca="false">VLOOKUP(G76,Benchmarks!$A$2:$I$9,5,FALSE())</f>
        <v>1089</v>
      </c>
      <c r="S76" s="8" t="n">
        <f aca="false">VLOOKUP(G76,Benchmarks!$A$2:$I$9,6,FALSE())</f>
        <v>4500</v>
      </c>
      <c r="T76" s="8" t="n">
        <f aca="false">R76*S76*Q76</f>
        <v>3430350</v>
      </c>
      <c r="U76" s="9" t="n">
        <f aca="false">VLOOKUP(F76,Backbones!$A$2:$G$5,6,FALSE())</f>
        <v>0.6</v>
      </c>
      <c r="V76" s="10" t="n">
        <f aca="false">T76/1000000*U76</f>
        <v>2.05821</v>
      </c>
      <c r="W76" s="6" t="s">
        <v>145</v>
      </c>
      <c r="X76" s="6"/>
      <c r="Y76" s="6"/>
    </row>
    <row r="77" customFormat="false" ht="15" hidden="false" customHeight="false" outlineLevel="0" collapsed="false">
      <c r="A77" s="0" t="s">
        <v>148</v>
      </c>
      <c r="B77" s="11" t="s">
        <v>50</v>
      </c>
      <c r="C77" s="0" t="s">
        <v>51</v>
      </c>
      <c r="D77" s="0" t="s">
        <v>52</v>
      </c>
      <c r="E77" s="0" t="s">
        <v>142</v>
      </c>
      <c r="F77" s="0" t="s">
        <v>54</v>
      </c>
      <c r="G77" s="0" t="s">
        <v>63</v>
      </c>
      <c r="H77" s="0" t="n">
        <v>42</v>
      </c>
      <c r="I77" s="11" t="s">
        <v>56</v>
      </c>
      <c r="M77" s="0" t="s">
        <v>57</v>
      </c>
      <c r="N77" s="0" t="s">
        <v>58</v>
      </c>
      <c r="O77" s="0" t="s">
        <v>143</v>
      </c>
      <c r="P77" s="0" t="s">
        <v>144</v>
      </c>
      <c r="Q77" s="12" t="n">
        <f aca="false">VLOOKUP(E77,Conditions!$A$2:$I$13,6,FALSE())</f>
        <v>0.7</v>
      </c>
      <c r="R77" s="13" t="n">
        <f aca="false">VLOOKUP(G77,Benchmarks!$A$2:$I$9,5,FALSE())</f>
        <v>1273</v>
      </c>
      <c r="S77" s="13" t="n">
        <f aca="false">VLOOKUP(G77,Benchmarks!$A$2:$I$9,6,FALSE())</f>
        <v>5000</v>
      </c>
      <c r="T77" s="13" t="n">
        <f aca="false">R77*S77*Q77</f>
        <v>4455500</v>
      </c>
      <c r="U77" s="14" t="n">
        <f aca="false">VLOOKUP(F77,Backbones!$A$2:$G$5,6,FALSE())</f>
        <v>0.6</v>
      </c>
      <c r="V77" s="15" t="n">
        <f aca="false">T77/1000000*U77</f>
        <v>2.6733</v>
      </c>
      <c r="W77" s="11" t="s">
        <v>145</v>
      </c>
    </row>
    <row r="78" customFormat="false" ht="15" hidden="false" customHeight="false" outlineLevel="0" collapsed="false">
      <c r="A78" s="6" t="s">
        <v>149</v>
      </c>
      <c r="B78" s="6" t="s">
        <v>50</v>
      </c>
      <c r="C78" s="6" t="s">
        <v>51</v>
      </c>
      <c r="D78" s="6" t="s">
        <v>52</v>
      </c>
      <c r="E78" s="6" t="s">
        <v>142</v>
      </c>
      <c r="F78" s="6" t="s">
        <v>54</v>
      </c>
      <c r="G78" s="6" t="s">
        <v>63</v>
      </c>
      <c r="H78" s="6" t="n">
        <v>123</v>
      </c>
      <c r="I78" s="6" t="s">
        <v>56</v>
      </c>
      <c r="J78" s="6"/>
      <c r="K78" s="6"/>
      <c r="L78" s="6"/>
      <c r="M78" s="6" t="s">
        <v>57</v>
      </c>
      <c r="N78" s="6" t="s">
        <v>58</v>
      </c>
      <c r="O78" s="6" t="s">
        <v>143</v>
      </c>
      <c r="P78" s="6" t="s">
        <v>144</v>
      </c>
      <c r="Q78" s="7" t="n">
        <f aca="false">VLOOKUP(E78,Conditions!$A$2:$I$13,6,FALSE())</f>
        <v>0.7</v>
      </c>
      <c r="R78" s="8" t="n">
        <f aca="false">VLOOKUP(G78,Benchmarks!$A$2:$I$9,5,FALSE())</f>
        <v>1273</v>
      </c>
      <c r="S78" s="8" t="n">
        <f aca="false">VLOOKUP(G78,Benchmarks!$A$2:$I$9,6,FALSE())</f>
        <v>5000</v>
      </c>
      <c r="T78" s="8" t="n">
        <f aca="false">R78*S78*Q78</f>
        <v>4455500</v>
      </c>
      <c r="U78" s="9" t="n">
        <f aca="false">VLOOKUP(F78,Backbones!$A$2:$G$5,6,FALSE())</f>
        <v>0.6</v>
      </c>
      <c r="V78" s="10" t="n">
        <f aca="false">T78/1000000*U78</f>
        <v>2.6733</v>
      </c>
      <c r="W78" s="6" t="s">
        <v>145</v>
      </c>
      <c r="X78" s="6"/>
      <c r="Y78" s="6"/>
    </row>
    <row r="79" customFormat="false" ht="15" hidden="false" customHeight="false" outlineLevel="0" collapsed="false">
      <c r="A79" s="0" t="s">
        <v>150</v>
      </c>
      <c r="B79" s="11" t="s">
        <v>50</v>
      </c>
      <c r="C79" s="0" t="s">
        <v>51</v>
      </c>
      <c r="D79" s="0" t="s">
        <v>52</v>
      </c>
      <c r="E79" s="0" t="s">
        <v>142</v>
      </c>
      <c r="F79" s="0" t="s">
        <v>54</v>
      </c>
      <c r="G79" s="0" t="s">
        <v>63</v>
      </c>
      <c r="H79" s="0" t="n">
        <v>7</v>
      </c>
      <c r="I79" s="11" t="s">
        <v>56</v>
      </c>
      <c r="M79" s="0" t="s">
        <v>57</v>
      </c>
      <c r="N79" s="0" t="s">
        <v>58</v>
      </c>
      <c r="O79" s="0" t="s">
        <v>143</v>
      </c>
      <c r="P79" s="0" t="s">
        <v>144</v>
      </c>
      <c r="Q79" s="12" t="n">
        <f aca="false">VLOOKUP(E79,Conditions!$A$2:$I$13,6,FALSE())</f>
        <v>0.7</v>
      </c>
      <c r="R79" s="13" t="n">
        <f aca="false">VLOOKUP(G79,Benchmarks!$A$2:$I$9,5,FALSE())</f>
        <v>1273</v>
      </c>
      <c r="S79" s="13" t="n">
        <f aca="false">VLOOKUP(G79,Benchmarks!$A$2:$I$9,6,FALSE())</f>
        <v>5000</v>
      </c>
      <c r="T79" s="13" t="n">
        <f aca="false">R79*S79*Q79</f>
        <v>4455500</v>
      </c>
      <c r="U79" s="14" t="n">
        <f aca="false">VLOOKUP(F79,Backbones!$A$2:$G$5,6,FALSE())</f>
        <v>0.6</v>
      </c>
      <c r="V79" s="15" t="n">
        <f aca="false">T79/1000000*U79</f>
        <v>2.6733</v>
      </c>
      <c r="W79" s="11" t="s">
        <v>145</v>
      </c>
    </row>
    <row r="80" customFormat="false" ht="15" hidden="false" customHeight="false" outlineLevel="0" collapsed="false">
      <c r="A80" s="6" t="s">
        <v>151</v>
      </c>
      <c r="B80" s="6" t="s">
        <v>50</v>
      </c>
      <c r="C80" s="6" t="s">
        <v>51</v>
      </c>
      <c r="D80" s="6" t="s">
        <v>52</v>
      </c>
      <c r="E80" s="6" t="s">
        <v>142</v>
      </c>
      <c r="F80" s="6" t="s">
        <v>54</v>
      </c>
      <c r="G80" s="6" t="s">
        <v>67</v>
      </c>
      <c r="H80" s="6" t="n">
        <v>42</v>
      </c>
      <c r="I80" s="6" t="s">
        <v>56</v>
      </c>
      <c r="J80" s="6"/>
      <c r="K80" s="6"/>
      <c r="L80" s="6"/>
      <c r="M80" s="6" t="s">
        <v>57</v>
      </c>
      <c r="N80" s="6" t="s">
        <v>58</v>
      </c>
      <c r="O80" s="6" t="s">
        <v>143</v>
      </c>
      <c r="P80" s="6" t="s">
        <v>144</v>
      </c>
      <c r="Q80" s="7" t="n">
        <f aca="false">VLOOKUP(E80,Conditions!$A$2:$I$13,6,FALSE())</f>
        <v>0.7</v>
      </c>
      <c r="R80" s="8" t="n">
        <f aca="false">VLOOKUP(G80,Benchmarks!$A$2:$I$9,5,FALSE())</f>
        <v>4183</v>
      </c>
      <c r="S80" s="8" t="n">
        <f aca="false">VLOOKUP(G80,Benchmarks!$A$2:$I$9,6,FALSE())</f>
        <v>4500</v>
      </c>
      <c r="T80" s="8" t="n">
        <f aca="false">R80*S80*Q80</f>
        <v>13176450</v>
      </c>
      <c r="U80" s="9" t="n">
        <f aca="false">VLOOKUP(F80,Backbones!$A$2:$G$5,6,FALSE())</f>
        <v>0.6</v>
      </c>
      <c r="V80" s="10" t="n">
        <f aca="false">T80/1000000*U80</f>
        <v>7.90587</v>
      </c>
      <c r="W80" s="6" t="s">
        <v>145</v>
      </c>
      <c r="X80" s="6"/>
      <c r="Y80" s="6"/>
    </row>
    <row r="81" customFormat="false" ht="15" hidden="false" customHeight="false" outlineLevel="0" collapsed="false">
      <c r="A81" s="0" t="s">
        <v>152</v>
      </c>
      <c r="B81" s="11" t="s">
        <v>50</v>
      </c>
      <c r="C81" s="0" t="s">
        <v>51</v>
      </c>
      <c r="D81" s="0" t="s">
        <v>52</v>
      </c>
      <c r="E81" s="0" t="s">
        <v>142</v>
      </c>
      <c r="F81" s="0" t="s">
        <v>54</v>
      </c>
      <c r="G81" s="0" t="s">
        <v>67</v>
      </c>
      <c r="H81" s="0" t="n">
        <v>123</v>
      </c>
      <c r="I81" s="11" t="s">
        <v>56</v>
      </c>
      <c r="M81" s="0" t="s">
        <v>57</v>
      </c>
      <c r="N81" s="0" t="s">
        <v>58</v>
      </c>
      <c r="O81" s="0" t="s">
        <v>143</v>
      </c>
      <c r="P81" s="0" t="s">
        <v>144</v>
      </c>
      <c r="Q81" s="12" t="n">
        <f aca="false">VLOOKUP(E81,Conditions!$A$2:$I$13,6,FALSE())</f>
        <v>0.7</v>
      </c>
      <c r="R81" s="13" t="n">
        <f aca="false">VLOOKUP(G81,Benchmarks!$A$2:$I$9,5,FALSE())</f>
        <v>4183</v>
      </c>
      <c r="S81" s="13" t="n">
        <f aca="false">VLOOKUP(G81,Benchmarks!$A$2:$I$9,6,FALSE())</f>
        <v>4500</v>
      </c>
      <c r="T81" s="13" t="n">
        <f aca="false">R81*S81*Q81</f>
        <v>13176450</v>
      </c>
      <c r="U81" s="14" t="n">
        <f aca="false">VLOOKUP(F81,Backbones!$A$2:$G$5,6,FALSE())</f>
        <v>0.6</v>
      </c>
      <c r="V81" s="15" t="n">
        <f aca="false">T81/1000000*U81</f>
        <v>7.90587</v>
      </c>
      <c r="W81" s="11" t="s">
        <v>145</v>
      </c>
    </row>
    <row r="82" customFormat="false" ht="15" hidden="false" customHeight="false" outlineLevel="0" collapsed="false">
      <c r="A82" s="6" t="s">
        <v>153</v>
      </c>
      <c r="B82" s="6" t="s">
        <v>50</v>
      </c>
      <c r="C82" s="6" t="s">
        <v>51</v>
      </c>
      <c r="D82" s="6" t="s">
        <v>52</v>
      </c>
      <c r="E82" s="6" t="s">
        <v>142</v>
      </c>
      <c r="F82" s="6" t="s">
        <v>54</v>
      </c>
      <c r="G82" s="6" t="s">
        <v>67</v>
      </c>
      <c r="H82" s="6" t="n">
        <v>7</v>
      </c>
      <c r="I82" s="6" t="s">
        <v>56</v>
      </c>
      <c r="J82" s="6"/>
      <c r="K82" s="6"/>
      <c r="L82" s="6"/>
      <c r="M82" s="6" t="s">
        <v>57</v>
      </c>
      <c r="N82" s="6" t="s">
        <v>58</v>
      </c>
      <c r="O82" s="6" t="s">
        <v>143</v>
      </c>
      <c r="P82" s="6" t="s">
        <v>144</v>
      </c>
      <c r="Q82" s="7" t="n">
        <f aca="false">VLOOKUP(E82,Conditions!$A$2:$I$13,6,FALSE())</f>
        <v>0.7</v>
      </c>
      <c r="R82" s="8" t="n">
        <f aca="false">VLOOKUP(G82,Benchmarks!$A$2:$I$9,5,FALSE())</f>
        <v>4183</v>
      </c>
      <c r="S82" s="8" t="n">
        <f aca="false">VLOOKUP(G82,Benchmarks!$A$2:$I$9,6,FALSE())</f>
        <v>4500</v>
      </c>
      <c r="T82" s="8" t="n">
        <f aca="false">R82*S82*Q82</f>
        <v>13176450</v>
      </c>
      <c r="U82" s="9" t="n">
        <f aca="false">VLOOKUP(F82,Backbones!$A$2:$G$5,6,FALSE())</f>
        <v>0.6</v>
      </c>
      <c r="V82" s="10" t="n">
        <f aca="false">T82/1000000*U82</f>
        <v>7.90587</v>
      </c>
      <c r="W82" s="6" t="s">
        <v>145</v>
      </c>
      <c r="X82" s="6"/>
      <c r="Y82" s="6"/>
    </row>
    <row r="83" customFormat="false" ht="15" hidden="false" customHeight="false" outlineLevel="0" collapsed="false">
      <c r="A83" s="0" t="s">
        <v>154</v>
      </c>
      <c r="B83" s="11" t="s">
        <v>50</v>
      </c>
      <c r="C83" s="0" t="s">
        <v>51</v>
      </c>
      <c r="D83" s="0" t="s">
        <v>52</v>
      </c>
      <c r="E83" s="0" t="s">
        <v>142</v>
      </c>
      <c r="F83" s="0" t="s">
        <v>54</v>
      </c>
      <c r="G83" s="0" t="s">
        <v>71</v>
      </c>
      <c r="H83" s="0" t="n">
        <v>42</v>
      </c>
      <c r="I83" s="11" t="s">
        <v>56</v>
      </c>
      <c r="M83" s="0" t="s">
        <v>57</v>
      </c>
      <c r="N83" s="0" t="s">
        <v>58</v>
      </c>
      <c r="O83" s="0" t="s">
        <v>143</v>
      </c>
      <c r="P83" s="0" t="s">
        <v>144</v>
      </c>
      <c r="Q83" s="12" t="n">
        <f aca="false">VLOOKUP(E83,Conditions!$A$2:$I$13,6,FALSE())</f>
        <v>0.7</v>
      </c>
      <c r="R83" s="13" t="n">
        <f aca="false">VLOOKUP(G83,Benchmarks!$A$2:$I$9,5,FALSE())</f>
        <v>500</v>
      </c>
      <c r="S83" s="13" t="n">
        <f aca="false">VLOOKUP(G83,Benchmarks!$A$2:$I$9,6,FALSE())</f>
        <v>5500</v>
      </c>
      <c r="T83" s="13" t="n">
        <f aca="false">R83*S83*Q83</f>
        <v>1925000</v>
      </c>
      <c r="U83" s="14" t="n">
        <f aca="false">VLOOKUP(F83,Backbones!$A$2:$G$5,6,FALSE())</f>
        <v>0.6</v>
      </c>
      <c r="V83" s="15" t="n">
        <f aca="false">T83/1000000*U83</f>
        <v>1.155</v>
      </c>
      <c r="W83" s="11" t="s">
        <v>145</v>
      </c>
    </row>
    <row r="84" customFormat="false" ht="15" hidden="false" customHeight="false" outlineLevel="0" collapsed="false">
      <c r="A84" s="6" t="s">
        <v>155</v>
      </c>
      <c r="B84" s="6" t="s">
        <v>50</v>
      </c>
      <c r="C84" s="6" t="s">
        <v>51</v>
      </c>
      <c r="D84" s="6" t="s">
        <v>52</v>
      </c>
      <c r="E84" s="6" t="s">
        <v>142</v>
      </c>
      <c r="F84" s="6" t="s">
        <v>54</v>
      </c>
      <c r="G84" s="6" t="s">
        <v>71</v>
      </c>
      <c r="H84" s="6" t="n">
        <v>123</v>
      </c>
      <c r="I84" s="6" t="s">
        <v>56</v>
      </c>
      <c r="J84" s="6"/>
      <c r="K84" s="6"/>
      <c r="L84" s="6"/>
      <c r="M84" s="6" t="s">
        <v>57</v>
      </c>
      <c r="N84" s="6" t="s">
        <v>58</v>
      </c>
      <c r="O84" s="6" t="s">
        <v>143</v>
      </c>
      <c r="P84" s="6" t="s">
        <v>144</v>
      </c>
      <c r="Q84" s="7" t="n">
        <f aca="false">VLOOKUP(E84,Conditions!$A$2:$I$13,6,FALSE())</f>
        <v>0.7</v>
      </c>
      <c r="R84" s="8" t="n">
        <f aca="false">VLOOKUP(G84,Benchmarks!$A$2:$I$9,5,FALSE())</f>
        <v>500</v>
      </c>
      <c r="S84" s="8" t="n">
        <f aca="false">VLOOKUP(G84,Benchmarks!$A$2:$I$9,6,FALSE())</f>
        <v>5500</v>
      </c>
      <c r="T84" s="8" t="n">
        <f aca="false">R84*S84*Q84</f>
        <v>1925000</v>
      </c>
      <c r="U84" s="9" t="n">
        <f aca="false">VLOOKUP(F84,Backbones!$A$2:$G$5,6,FALSE())</f>
        <v>0.6</v>
      </c>
      <c r="V84" s="10" t="n">
        <f aca="false">T84/1000000*U84</f>
        <v>1.155</v>
      </c>
      <c r="W84" s="6" t="s">
        <v>145</v>
      </c>
      <c r="X84" s="6"/>
      <c r="Y84" s="6"/>
    </row>
    <row r="85" customFormat="false" ht="15" hidden="false" customHeight="false" outlineLevel="0" collapsed="false">
      <c r="A85" s="0" t="s">
        <v>156</v>
      </c>
      <c r="B85" s="11" t="s">
        <v>50</v>
      </c>
      <c r="C85" s="0" t="s">
        <v>51</v>
      </c>
      <c r="D85" s="0" t="s">
        <v>52</v>
      </c>
      <c r="E85" s="0" t="s">
        <v>142</v>
      </c>
      <c r="F85" s="0" t="s">
        <v>54</v>
      </c>
      <c r="G85" s="0" t="s">
        <v>71</v>
      </c>
      <c r="H85" s="0" t="n">
        <v>7</v>
      </c>
      <c r="I85" s="11" t="s">
        <v>56</v>
      </c>
      <c r="M85" s="0" t="s">
        <v>57</v>
      </c>
      <c r="N85" s="0" t="s">
        <v>58</v>
      </c>
      <c r="O85" s="0" t="s">
        <v>143</v>
      </c>
      <c r="P85" s="0" t="s">
        <v>144</v>
      </c>
      <c r="Q85" s="12" t="n">
        <f aca="false">VLOOKUP(E85,Conditions!$A$2:$I$13,6,FALSE())</f>
        <v>0.7</v>
      </c>
      <c r="R85" s="13" t="n">
        <f aca="false">VLOOKUP(G85,Benchmarks!$A$2:$I$9,5,FALSE())</f>
        <v>500</v>
      </c>
      <c r="S85" s="13" t="n">
        <f aca="false">VLOOKUP(G85,Benchmarks!$A$2:$I$9,6,FALSE())</f>
        <v>5500</v>
      </c>
      <c r="T85" s="13" t="n">
        <f aca="false">R85*S85*Q85</f>
        <v>1925000</v>
      </c>
      <c r="U85" s="14" t="n">
        <f aca="false">VLOOKUP(F85,Backbones!$A$2:$G$5,6,FALSE())</f>
        <v>0.6</v>
      </c>
      <c r="V85" s="15" t="n">
        <f aca="false">T85/1000000*U85</f>
        <v>1.155</v>
      </c>
      <c r="W85" s="11" t="s">
        <v>145</v>
      </c>
    </row>
    <row r="86" customFormat="false" ht="15" hidden="false" customHeight="false" outlineLevel="0" collapsed="false">
      <c r="A86" s="6" t="s">
        <v>157</v>
      </c>
      <c r="B86" s="6" t="s">
        <v>50</v>
      </c>
      <c r="C86" s="6" t="s">
        <v>51</v>
      </c>
      <c r="D86" s="6" t="s">
        <v>52</v>
      </c>
      <c r="E86" s="6" t="s">
        <v>142</v>
      </c>
      <c r="F86" s="6" t="s">
        <v>54</v>
      </c>
      <c r="G86" s="6" t="s">
        <v>75</v>
      </c>
      <c r="H86" s="6" t="n">
        <v>42</v>
      </c>
      <c r="I86" s="6" t="s">
        <v>56</v>
      </c>
      <c r="J86" s="6"/>
      <c r="K86" s="6"/>
      <c r="L86" s="6"/>
      <c r="M86" s="6" t="s">
        <v>57</v>
      </c>
      <c r="N86" s="6" t="s">
        <v>58</v>
      </c>
      <c r="O86" s="6" t="s">
        <v>143</v>
      </c>
      <c r="P86" s="6" t="s">
        <v>144</v>
      </c>
      <c r="Q86" s="7" t="n">
        <f aca="false">VLOOKUP(E86,Conditions!$A$2:$I$13,6,FALSE())</f>
        <v>0.7</v>
      </c>
      <c r="R86" s="8" t="n">
        <f aca="false">VLOOKUP(G86,Benchmarks!$A$2:$I$9,5,FALSE())</f>
        <v>618</v>
      </c>
      <c r="S86" s="8" t="n">
        <f aca="false">VLOOKUP(G86,Benchmarks!$A$2:$I$9,6,FALSE())</f>
        <v>5000</v>
      </c>
      <c r="T86" s="8" t="n">
        <f aca="false">R86*S86*Q86</f>
        <v>2163000</v>
      </c>
      <c r="U86" s="9" t="n">
        <f aca="false">VLOOKUP(F86,Backbones!$A$2:$G$5,6,FALSE())</f>
        <v>0.6</v>
      </c>
      <c r="V86" s="10" t="n">
        <f aca="false">T86/1000000*U86</f>
        <v>1.2978</v>
      </c>
      <c r="W86" s="6" t="s">
        <v>145</v>
      </c>
      <c r="X86" s="6"/>
      <c r="Y86" s="6"/>
    </row>
    <row r="87" customFormat="false" ht="15" hidden="false" customHeight="false" outlineLevel="0" collapsed="false">
      <c r="A87" s="0" t="s">
        <v>158</v>
      </c>
      <c r="B87" s="11" t="s">
        <v>50</v>
      </c>
      <c r="C87" s="0" t="s">
        <v>51</v>
      </c>
      <c r="D87" s="0" t="s">
        <v>52</v>
      </c>
      <c r="E87" s="0" t="s">
        <v>142</v>
      </c>
      <c r="F87" s="0" t="s">
        <v>54</v>
      </c>
      <c r="G87" s="0" t="s">
        <v>75</v>
      </c>
      <c r="H87" s="0" t="n">
        <v>123</v>
      </c>
      <c r="I87" s="11" t="s">
        <v>56</v>
      </c>
      <c r="M87" s="0" t="s">
        <v>57</v>
      </c>
      <c r="N87" s="0" t="s">
        <v>58</v>
      </c>
      <c r="O87" s="0" t="s">
        <v>143</v>
      </c>
      <c r="P87" s="0" t="s">
        <v>144</v>
      </c>
      <c r="Q87" s="12" t="n">
        <f aca="false">VLOOKUP(E87,Conditions!$A$2:$I$13,6,FALSE())</f>
        <v>0.7</v>
      </c>
      <c r="R87" s="13" t="n">
        <f aca="false">VLOOKUP(G87,Benchmarks!$A$2:$I$9,5,FALSE())</f>
        <v>618</v>
      </c>
      <c r="S87" s="13" t="n">
        <f aca="false">VLOOKUP(G87,Benchmarks!$A$2:$I$9,6,FALSE())</f>
        <v>5000</v>
      </c>
      <c r="T87" s="13" t="n">
        <f aca="false">R87*S87*Q87</f>
        <v>2163000</v>
      </c>
      <c r="U87" s="14" t="n">
        <f aca="false">VLOOKUP(F87,Backbones!$A$2:$G$5,6,FALSE())</f>
        <v>0.6</v>
      </c>
      <c r="V87" s="15" t="n">
        <f aca="false">T87/1000000*U87</f>
        <v>1.2978</v>
      </c>
      <c r="W87" s="11" t="s">
        <v>145</v>
      </c>
    </row>
    <row r="88" customFormat="false" ht="15" hidden="false" customHeight="false" outlineLevel="0" collapsed="false">
      <c r="A88" s="6" t="s">
        <v>159</v>
      </c>
      <c r="B88" s="6" t="s">
        <v>50</v>
      </c>
      <c r="C88" s="6" t="s">
        <v>51</v>
      </c>
      <c r="D88" s="6" t="s">
        <v>52</v>
      </c>
      <c r="E88" s="6" t="s">
        <v>142</v>
      </c>
      <c r="F88" s="6" t="s">
        <v>54</v>
      </c>
      <c r="G88" s="6" t="s">
        <v>75</v>
      </c>
      <c r="H88" s="6" t="n">
        <v>7</v>
      </c>
      <c r="I88" s="6" t="s">
        <v>56</v>
      </c>
      <c r="J88" s="6"/>
      <c r="K88" s="6"/>
      <c r="L88" s="6"/>
      <c r="M88" s="6" t="s">
        <v>57</v>
      </c>
      <c r="N88" s="6" t="s">
        <v>58</v>
      </c>
      <c r="O88" s="6" t="s">
        <v>143</v>
      </c>
      <c r="P88" s="6" t="s">
        <v>144</v>
      </c>
      <c r="Q88" s="7" t="n">
        <f aca="false">VLOOKUP(E88,Conditions!$A$2:$I$13,6,FALSE())</f>
        <v>0.7</v>
      </c>
      <c r="R88" s="8" t="n">
        <f aca="false">VLOOKUP(G88,Benchmarks!$A$2:$I$9,5,FALSE())</f>
        <v>618</v>
      </c>
      <c r="S88" s="8" t="n">
        <f aca="false">VLOOKUP(G88,Benchmarks!$A$2:$I$9,6,FALSE())</f>
        <v>5000</v>
      </c>
      <c r="T88" s="8" t="n">
        <f aca="false">R88*S88*Q88</f>
        <v>2163000</v>
      </c>
      <c r="U88" s="9" t="n">
        <f aca="false">VLOOKUP(F88,Backbones!$A$2:$G$5,6,FALSE())</f>
        <v>0.6</v>
      </c>
      <c r="V88" s="10" t="n">
        <f aca="false">T88/1000000*U88</f>
        <v>1.2978</v>
      </c>
      <c r="W88" s="6" t="s">
        <v>145</v>
      </c>
      <c r="X88" s="6"/>
      <c r="Y88" s="6"/>
    </row>
    <row r="89" customFormat="false" ht="15" hidden="false" customHeight="false" outlineLevel="0" collapsed="false">
      <c r="A89" s="0" t="s">
        <v>160</v>
      </c>
      <c r="B89" s="11" t="s">
        <v>50</v>
      </c>
      <c r="C89" s="0" t="s">
        <v>51</v>
      </c>
      <c r="D89" s="0" t="s">
        <v>52</v>
      </c>
      <c r="E89" s="0" t="s">
        <v>142</v>
      </c>
      <c r="F89" s="0" t="s">
        <v>54</v>
      </c>
      <c r="G89" s="0" t="s">
        <v>79</v>
      </c>
      <c r="H89" s="0" t="n">
        <v>42</v>
      </c>
      <c r="I89" s="11" t="s">
        <v>56</v>
      </c>
      <c r="M89" s="0" t="s">
        <v>57</v>
      </c>
      <c r="N89" s="0" t="s">
        <v>58</v>
      </c>
      <c r="O89" s="0" t="s">
        <v>143</v>
      </c>
      <c r="P89" s="0" t="s">
        <v>144</v>
      </c>
      <c r="Q89" s="12" t="n">
        <f aca="false">VLOOKUP(E89,Conditions!$A$2:$I$13,6,FALSE())</f>
        <v>0.7</v>
      </c>
      <c r="R89" s="13" t="n">
        <f aca="false">VLOOKUP(G89,Benchmarks!$A$2:$I$9,5,FALSE())</f>
        <v>50</v>
      </c>
      <c r="S89" s="13" t="n">
        <f aca="false">VLOOKUP(G89,Benchmarks!$A$2:$I$9,6,FALSE())</f>
        <v>8000</v>
      </c>
      <c r="T89" s="13" t="n">
        <f aca="false">R89*S89*Q89</f>
        <v>280000</v>
      </c>
      <c r="U89" s="14" t="n">
        <f aca="false">VLOOKUP(F89,Backbones!$A$2:$G$5,6,FALSE())</f>
        <v>0.6</v>
      </c>
      <c r="V89" s="15" t="n">
        <f aca="false">T89/1000000*U89</f>
        <v>0.168</v>
      </c>
      <c r="W89" s="11" t="s">
        <v>145</v>
      </c>
    </row>
    <row r="90" customFormat="false" ht="15" hidden="false" customHeight="false" outlineLevel="0" collapsed="false">
      <c r="A90" s="6" t="s">
        <v>161</v>
      </c>
      <c r="B90" s="6" t="s">
        <v>50</v>
      </c>
      <c r="C90" s="6" t="s">
        <v>51</v>
      </c>
      <c r="D90" s="6" t="s">
        <v>52</v>
      </c>
      <c r="E90" s="6" t="s">
        <v>142</v>
      </c>
      <c r="F90" s="6" t="s">
        <v>54</v>
      </c>
      <c r="G90" s="6" t="s">
        <v>79</v>
      </c>
      <c r="H90" s="6" t="n">
        <v>123</v>
      </c>
      <c r="I90" s="6" t="s">
        <v>56</v>
      </c>
      <c r="J90" s="6"/>
      <c r="K90" s="6"/>
      <c r="L90" s="6"/>
      <c r="M90" s="6" t="s">
        <v>57</v>
      </c>
      <c r="N90" s="6" t="s">
        <v>58</v>
      </c>
      <c r="O90" s="6" t="s">
        <v>143</v>
      </c>
      <c r="P90" s="6" t="s">
        <v>144</v>
      </c>
      <c r="Q90" s="7" t="n">
        <f aca="false">VLOOKUP(E90,Conditions!$A$2:$I$13,6,FALSE())</f>
        <v>0.7</v>
      </c>
      <c r="R90" s="8" t="n">
        <f aca="false">VLOOKUP(G90,Benchmarks!$A$2:$I$9,5,FALSE())</f>
        <v>50</v>
      </c>
      <c r="S90" s="8" t="n">
        <f aca="false">VLOOKUP(G90,Benchmarks!$A$2:$I$9,6,FALSE())</f>
        <v>8000</v>
      </c>
      <c r="T90" s="8" t="n">
        <f aca="false">R90*S90*Q90</f>
        <v>280000</v>
      </c>
      <c r="U90" s="9" t="n">
        <f aca="false">VLOOKUP(F90,Backbones!$A$2:$G$5,6,FALSE())</f>
        <v>0.6</v>
      </c>
      <c r="V90" s="10" t="n">
        <f aca="false">T90/1000000*U90</f>
        <v>0.168</v>
      </c>
      <c r="W90" s="6" t="s">
        <v>145</v>
      </c>
      <c r="X90" s="6"/>
      <c r="Y90" s="6"/>
    </row>
    <row r="91" customFormat="false" ht="15" hidden="false" customHeight="false" outlineLevel="0" collapsed="false">
      <c r="A91" s="0" t="s">
        <v>162</v>
      </c>
      <c r="B91" s="11" t="s">
        <v>50</v>
      </c>
      <c r="C91" s="0" t="s">
        <v>51</v>
      </c>
      <c r="D91" s="0" t="s">
        <v>52</v>
      </c>
      <c r="E91" s="0" t="s">
        <v>142</v>
      </c>
      <c r="F91" s="0" t="s">
        <v>54</v>
      </c>
      <c r="G91" s="0" t="s">
        <v>79</v>
      </c>
      <c r="H91" s="0" t="n">
        <v>7</v>
      </c>
      <c r="I91" s="11" t="s">
        <v>56</v>
      </c>
      <c r="M91" s="0" t="s">
        <v>57</v>
      </c>
      <c r="N91" s="0" t="s">
        <v>58</v>
      </c>
      <c r="O91" s="0" t="s">
        <v>143</v>
      </c>
      <c r="P91" s="0" t="s">
        <v>144</v>
      </c>
      <c r="Q91" s="12" t="n">
        <f aca="false">VLOOKUP(E91,Conditions!$A$2:$I$13,6,FALSE())</f>
        <v>0.7</v>
      </c>
      <c r="R91" s="13" t="n">
        <f aca="false">VLOOKUP(G91,Benchmarks!$A$2:$I$9,5,FALSE())</f>
        <v>50</v>
      </c>
      <c r="S91" s="13" t="n">
        <f aca="false">VLOOKUP(G91,Benchmarks!$A$2:$I$9,6,FALSE())</f>
        <v>8000</v>
      </c>
      <c r="T91" s="13" t="n">
        <f aca="false">R91*S91*Q91</f>
        <v>280000</v>
      </c>
      <c r="U91" s="14" t="n">
        <f aca="false">VLOOKUP(F91,Backbones!$A$2:$G$5,6,FALSE())</f>
        <v>0.6</v>
      </c>
      <c r="V91" s="15" t="n">
        <f aca="false">T91/1000000*U91</f>
        <v>0.168</v>
      </c>
      <c r="W91" s="11" t="s">
        <v>145</v>
      </c>
    </row>
    <row r="92" customFormat="false" ht="15" hidden="false" customHeight="false" outlineLevel="0" collapsed="false">
      <c r="A92" s="6" t="s">
        <v>163</v>
      </c>
      <c r="B92" s="6" t="s">
        <v>50</v>
      </c>
      <c r="C92" s="6" t="s">
        <v>51</v>
      </c>
      <c r="D92" s="6" t="s">
        <v>52</v>
      </c>
      <c r="E92" s="6" t="s">
        <v>142</v>
      </c>
      <c r="F92" s="6" t="s">
        <v>54</v>
      </c>
      <c r="G92" s="6" t="s">
        <v>83</v>
      </c>
      <c r="H92" s="6" t="n">
        <v>42</v>
      </c>
      <c r="I92" s="6" t="s">
        <v>56</v>
      </c>
      <c r="J92" s="6"/>
      <c r="K92" s="6"/>
      <c r="L92" s="6"/>
      <c r="M92" s="6" t="s">
        <v>57</v>
      </c>
      <c r="N92" s="6" t="s">
        <v>58</v>
      </c>
      <c r="O92" s="6" t="s">
        <v>143</v>
      </c>
      <c r="P92" s="6" t="s">
        <v>144</v>
      </c>
      <c r="Q92" s="7" t="n">
        <f aca="false">VLOOKUP(E92,Conditions!$A$2:$I$13,6,FALSE())</f>
        <v>0.7</v>
      </c>
      <c r="R92" s="8" t="n">
        <f aca="false">VLOOKUP(G92,Benchmarks!$A$2:$I$9,5,FALSE())</f>
        <v>200</v>
      </c>
      <c r="S92" s="8" t="n">
        <f aca="false">VLOOKUP(G92,Benchmarks!$A$2:$I$9,6,FALSE())</f>
        <v>8000</v>
      </c>
      <c r="T92" s="8" t="n">
        <f aca="false">R92*S92*Q92</f>
        <v>1120000</v>
      </c>
      <c r="U92" s="9" t="n">
        <f aca="false">VLOOKUP(F92,Backbones!$A$2:$G$5,6,FALSE())</f>
        <v>0.6</v>
      </c>
      <c r="V92" s="10" t="n">
        <f aca="false">T92/1000000*U92</f>
        <v>0.672</v>
      </c>
      <c r="W92" s="6" t="s">
        <v>145</v>
      </c>
      <c r="X92" s="6"/>
      <c r="Y92" s="6"/>
    </row>
    <row r="93" customFormat="false" ht="15" hidden="false" customHeight="false" outlineLevel="0" collapsed="false">
      <c r="A93" s="0" t="s">
        <v>164</v>
      </c>
      <c r="B93" s="11" t="s">
        <v>50</v>
      </c>
      <c r="C93" s="0" t="s">
        <v>51</v>
      </c>
      <c r="D93" s="0" t="s">
        <v>52</v>
      </c>
      <c r="E93" s="0" t="s">
        <v>142</v>
      </c>
      <c r="F93" s="0" t="s">
        <v>54</v>
      </c>
      <c r="G93" s="0" t="s">
        <v>83</v>
      </c>
      <c r="H93" s="0" t="n">
        <v>123</v>
      </c>
      <c r="I93" s="11" t="s">
        <v>56</v>
      </c>
      <c r="M93" s="0" t="s">
        <v>57</v>
      </c>
      <c r="N93" s="0" t="s">
        <v>58</v>
      </c>
      <c r="O93" s="0" t="s">
        <v>143</v>
      </c>
      <c r="P93" s="0" t="s">
        <v>144</v>
      </c>
      <c r="Q93" s="12" t="n">
        <f aca="false">VLOOKUP(E93,Conditions!$A$2:$I$13,6,FALSE())</f>
        <v>0.7</v>
      </c>
      <c r="R93" s="13" t="n">
        <f aca="false">VLOOKUP(G93,Benchmarks!$A$2:$I$9,5,FALSE())</f>
        <v>200</v>
      </c>
      <c r="S93" s="13" t="n">
        <f aca="false">VLOOKUP(G93,Benchmarks!$A$2:$I$9,6,FALSE())</f>
        <v>8000</v>
      </c>
      <c r="T93" s="13" t="n">
        <f aca="false">R93*S93*Q93</f>
        <v>1120000</v>
      </c>
      <c r="U93" s="14" t="n">
        <f aca="false">VLOOKUP(F93,Backbones!$A$2:$G$5,6,FALSE())</f>
        <v>0.6</v>
      </c>
      <c r="V93" s="15" t="n">
        <f aca="false">T93/1000000*U93</f>
        <v>0.672</v>
      </c>
      <c r="W93" s="11" t="s">
        <v>145</v>
      </c>
    </row>
    <row r="94" customFormat="false" ht="15" hidden="false" customHeight="false" outlineLevel="0" collapsed="false">
      <c r="A94" s="6" t="s">
        <v>165</v>
      </c>
      <c r="B94" s="6" t="s">
        <v>50</v>
      </c>
      <c r="C94" s="6" t="s">
        <v>51</v>
      </c>
      <c r="D94" s="6" t="s">
        <v>52</v>
      </c>
      <c r="E94" s="6" t="s">
        <v>142</v>
      </c>
      <c r="F94" s="6" t="s">
        <v>54</v>
      </c>
      <c r="G94" s="6" t="s">
        <v>83</v>
      </c>
      <c r="H94" s="6" t="n">
        <v>7</v>
      </c>
      <c r="I94" s="6" t="s">
        <v>56</v>
      </c>
      <c r="J94" s="6"/>
      <c r="K94" s="6"/>
      <c r="L94" s="6"/>
      <c r="M94" s="6" t="s">
        <v>57</v>
      </c>
      <c r="N94" s="6" t="s">
        <v>58</v>
      </c>
      <c r="O94" s="6" t="s">
        <v>143</v>
      </c>
      <c r="P94" s="6" t="s">
        <v>144</v>
      </c>
      <c r="Q94" s="7" t="n">
        <f aca="false">VLOOKUP(E94,Conditions!$A$2:$I$13,6,FALSE())</f>
        <v>0.7</v>
      </c>
      <c r="R94" s="8" t="n">
        <f aca="false">VLOOKUP(G94,Benchmarks!$A$2:$I$9,5,FALSE())</f>
        <v>200</v>
      </c>
      <c r="S94" s="8" t="n">
        <f aca="false">VLOOKUP(G94,Benchmarks!$A$2:$I$9,6,FALSE())</f>
        <v>8000</v>
      </c>
      <c r="T94" s="8" t="n">
        <f aca="false">R94*S94*Q94</f>
        <v>1120000</v>
      </c>
      <c r="U94" s="9" t="n">
        <f aca="false">VLOOKUP(F94,Backbones!$A$2:$G$5,6,FALSE())</f>
        <v>0.6</v>
      </c>
      <c r="V94" s="10" t="n">
        <f aca="false">T94/1000000*U94</f>
        <v>0.672</v>
      </c>
      <c r="W94" s="6" t="s">
        <v>145</v>
      </c>
      <c r="X94" s="6"/>
      <c r="Y94" s="6"/>
    </row>
    <row r="95" customFormat="false" ht="15" hidden="false" customHeight="false" outlineLevel="0" collapsed="false">
      <c r="A95" s="0" t="s">
        <v>166</v>
      </c>
      <c r="B95" s="11" t="s">
        <v>50</v>
      </c>
      <c r="C95" s="0" t="s">
        <v>51</v>
      </c>
      <c r="D95" s="0" t="s">
        <v>52</v>
      </c>
      <c r="E95" s="0" t="s">
        <v>142</v>
      </c>
      <c r="F95" s="0" t="s">
        <v>54</v>
      </c>
      <c r="G95" s="0" t="s">
        <v>87</v>
      </c>
      <c r="H95" s="0" t="n">
        <v>42</v>
      </c>
      <c r="I95" s="11" t="s">
        <v>56</v>
      </c>
      <c r="M95" s="0" t="s">
        <v>57</v>
      </c>
      <c r="N95" s="0" t="s">
        <v>58</v>
      </c>
      <c r="O95" s="0" t="s">
        <v>143</v>
      </c>
      <c r="P95" s="0" t="s">
        <v>144</v>
      </c>
      <c r="Q95" s="12" t="n">
        <f aca="false">VLOOKUP(E95,Conditions!$A$2:$I$13,6,FALSE())</f>
        <v>0.7</v>
      </c>
      <c r="R95" s="13" t="n">
        <f aca="false">VLOOKUP(G95,Benchmarks!$A$2:$I$9,5,FALSE())</f>
        <v>150</v>
      </c>
      <c r="S95" s="13" t="n">
        <f aca="false">VLOOKUP(G95,Benchmarks!$A$2:$I$9,6,FALSE())</f>
        <v>6000</v>
      </c>
      <c r="T95" s="13" t="n">
        <f aca="false">R95*S95*Q95</f>
        <v>630000</v>
      </c>
      <c r="U95" s="14" t="n">
        <f aca="false">VLOOKUP(F95,Backbones!$A$2:$G$5,6,FALSE())</f>
        <v>0.6</v>
      </c>
      <c r="V95" s="15" t="n">
        <f aca="false">T95/1000000*U95</f>
        <v>0.378</v>
      </c>
      <c r="W95" s="11" t="s">
        <v>145</v>
      </c>
    </row>
    <row r="96" customFormat="false" ht="15" hidden="false" customHeight="false" outlineLevel="0" collapsed="false">
      <c r="A96" s="6" t="s">
        <v>167</v>
      </c>
      <c r="B96" s="6" t="s">
        <v>50</v>
      </c>
      <c r="C96" s="6" t="s">
        <v>51</v>
      </c>
      <c r="D96" s="6" t="s">
        <v>52</v>
      </c>
      <c r="E96" s="6" t="s">
        <v>142</v>
      </c>
      <c r="F96" s="6" t="s">
        <v>54</v>
      </c>
      <c r="G96" s="6" t="s">
        <v>87</v>
      </c>
      <c r="H96" s="6" t="n">
        <v>123</v>
      </c>
      <c r="I96" s="6" t="s">
        <v>56</v>
      </c>
      <c r="J96" s="6"/>
      <c r="K96" s="6"/>
      <c r="L96" s="6"/>
      <c r="M96" s="6" t="s">
        <v>57</v>
      </c>
      <c r="N96" s="6" t="s">
        <v>58</v>
      </c>
      <c r="O96" s="6" t="s">
        <v>143</v>
      </c>
      <c r="P96" s="6" t="s">
        <v>144</v>
      </c>
      <c r="Q96" s="7" t="n">
        <f aca="false">VLOOKUP(E96,Conditions!$A$2:$I$13,6,FALSE())</f>
        <v>0.7</v>
      </c>
      <c r="R96" s="8" t="n">
        <f aca="false">VLOOKUP(G96,Benchmarks!$A$2:$I$9,5,FALSE())</f>
        <v>150</v>
      </c>
      <c r="S96" s="8" t="n">
        <f aca="false">VLOOKUP(G96,Benchmarks!$A$2:$I$9,6,FALSE())</f>
        <v>6000</v>
      </c>
      <c r="T96" s="8" t="n">
        <f aca="false">R96*S96*Q96</f>
        <v>630000</v>
      </c>
      <c r="U96" s="9" t="n">
        <f aca="false">VLOOKUP(F96,Backbones!$A$2:$G$5,6,FALSE())</f>
        <v>0.6</v>
      </c>
      <c r="V96" s="10" t="n">
        <f aca="false">T96/1000000*U96</f>
        <v>0.378</v>
      </c>
      <c r="W96" s="6" t="s">
        <v>145</v>
      </c>
      <c r="X96" s="6"/>
      <c r="Y96" s="6"/>
    </row>
    <row r="97" customFormat="false" ht="15" hidden="false" customHeight="false" outlineLevel="0" collapsed="false">
      <c r="A97" s="0" t="s">
        <v>168</v>
      </c>
      <c r="B97" s="11" t="s">
        <v>50</v>
      </c>
      <c r="C97" s="0" t="s">
        <v>51</v>
      </c>
      <c r="D97" s="0" t="s">
        <v>52</v>
      </c>
      <c r="E97" s="0" t="s">
        <v>142</v>
      </c>
      <c r="F97" s="0" t="s">
        <v>54</v>
      </c>
      <c r="G97" s="0" t="s">
        <v>87</v>
      </c>
      <c r="H97" s="0" t="n">
        <v>7</v>
      </c>
      <c r="I97" s="11" t="s">
        <v>56</v>
      </c>
      <c r="M97" s="0" t="s">
        <v>57</v>
      </c>
      <c r="N97" s="0" t="s">
        <v>58</v>
      </c>
      <c r="O97" s="0" t="s">
        <v>143</v>
      </c>
      <c r="P97" s="0" t="s">
        <v>144</v>
      </c>
      <c r="Q97" s="12" t="n">
        <f aca="false">VLOOKUP(E97,Conditions!$A$2:$I$13,6,FALSE())</f>
        <v>0.7</v>
      </c>
      <c r="R97" s="13" t="n">
        <f aca="false">VLOOKUP(G97,Benchmarks!$A$2:$I$9,5,FALSE())</f>
        <v>150</v>
      </c>
      <c r="S97" s="13" t="n">
        <f aca="false">VLOOKUP(G97,Benchmarks!$A$2:$I$9,6,FALSE())</f>
        <v>6000</v>
      </c>
      <c r="T97" s="13" t="n">
        <f aca="false">R97*S97*Q97</f>
        <v>630000</v>
      </c>
      <c r="U97" s="14" t="n">
        <f aca="false">VLOOKUP(F97,Backbones!$A$2:$G$5,6,FALSE())</f>
        <v>0.6</v>
      </c>
      <c r="V97" s="15" t="n">
        <f aca="false">T97/1000000*U97</f>
        <v>0.378</v>
      </c>
      <c r="W97" s="11" t="s">
        <v>145</v>
      </c>
    </row>
    <row r="98" customFormat="false" ht="15" hidden="false" customHeight="false" outlineLevel="0" collapsed="false">
      <c r="A98" s="6" t="s">
        <v>169</v>
      </c>
      <c r="B98" s="6" t="s">
        <v>50</v>
      </c>
      <c r="C98" s="6" t="s">
        <v>51</v>
      </c>
      <c r="D98" s="6" t="s">
        <v>52</v>
      </c>
      <c r="E98" s="6" t="s">
        <v>170</v>
      </c>
      <c r="F98" s="6" t="s">
        <v>54</v>
      </c>
      <c r="G98" s="6" t="s">
        <v>55</v>
      </c>
      <c r="H98" s="6" t="n">
        <v>42</v>
      </c>
      <c r="I98" s="6" t="s">
        <v>56</v>
      </c>
      <c r="J98" s="6"/>
      <c r="K98" s="6"/>
      <c r="L98" s="6"/>
      <c r="M98" s="6" t="s">
        <v>57</v>
      </c>
      <c r="N98" s="6" t="s">
        <v>171</v>
      </c>
      <c r="O98" s="6" t="s">
        <v>143</v>
      </c>
      <c r="P98" s="6" t="s">
        <v>144</v>
      </c>
      <c r="Q98" s="7" t="n">
        <f aca="false">VLOOKUP(E98,Conditions!$A$2:$I$13,6,FALSE())</f>
        <v>1.1</v>
      </c>
      <c r="R98" s="8" t="n">
        <f aca="false">VLOOKUP(G98,Benchmarks!$A$2:$I$9,5,FALSE())</f>
        <v>1089</v>
      </c>
      <c r="S98" s="8" t="n">
        <f aca="false">VLOOKUP(G98,Benchmarks!$A$2:$I$9,6,FALSE())</f>
        <v>4500</v>
      </c>
      <c r="T98" s="8" t="n">
        <f aca="false">R98*S98*Q98</f>
        <v>5390550</v>
      </c>
      <c r="U98" s="9" t="n">
        <f aca="false">VLOOKUP(F98,Backbones!$A$2:$G$5,6,FALSE())</f>
        <v>0.6</v>
      </c>
      <c r="V98" s="10" t="n">
        <f aca="false">T98/1000000*U98</f>
        <v>3.23433</v>
      </c>
      <c r="W98" s="6" t="s">
        <v>145</v>
      </c>
      <c r="X98" s="6"/>
      <c r="Y98" s="6"/>
    </row>
    <row r="99" customFormat="false" ht="15" hidden="false" customHeight="false" outlineLevel="0" collapsed="false">
      <c r="A99" s="0" t="s">
        <v>172</v>
      </c>
      <c r="B99" s="11" t="s">
        <v>50</v>
      </c>
      <c r="C99" s="0" t="s">
        <v>51</v>
      </c>
      <c r="D99" s="0" t="s">
        <v>52</v>
      </c>
      <c r="E99" s="0" t="s">
        <v>170</v>
      </c>
      <c r="F99" s="0" t="s">
        <v>54</v>
      </c>
      <c r="G99" s="0" t="s">
        <v>55</v>
      </c>
      <c r="H99" s="0" t="n">
        <v>123</v>
      </c>
      <c r="I99" s="11" t="s">
        <v>56</v>
      </c>
      <c r="M99" s="0" t="s">
        <v>57</v>
      </c>
      <c r="N99" s="0" t="s">
        <v>171</v>
      </c>
      <c r="O99" s="0" t="s">
        <v>143</v>
      </c>
      <c r="P99" s="0" t="s">
        <v>144</v>
      </c>
      <c r="Q99" s="12" t="n">
        <f aca="false">VLOOKUP(E99,Conditions!$A$2:$I$13,6,FALSE())</f>
        <v>1.1</v>
      </c>
      <c r="R99" s="13" t="n">
        <f aca="false">VLOOKUP(G99,Benchmarks!$A$2:$I$9,5,FALSE())</f>
        <v>1089</v>
      </c>
      <c r="S99" s="13" t="n">
        <f aca="false">VLOOKUP(G99,Benchmarks!$A$2:$I$9,6,FALSE())</f>
        <v>4500</v>
      </c>
      <c r="T99" s="13" t="n">
        <f aca="false">R99*S99*Q99</f>
        <v>5390550</v>
      </c>
      <c r="U99" s="14" t="n">
        <f aca="false">VLOOKUP(F99,Backbones!$A$2:$G$5,6,FALSE())</f>
        <v>0.6</v>
      </c>
      <c r="V99" s="15" t="n">
        <f aca="false">T99/1000000*U99</f>
        <v>3.23433</v>
      </c>
      <c r="W99" s="11" t="s">
        <v>145</v>
      </c>
    </row>
    <row r="100" customFormat="false" ht="15" hidden="false" customHeight="false" outlineLevel="0" collapsed="false">
      <c r="A100" s="6" t="s">
        <v>173</v>
      </c>
      <c r="B100" s="6" t="s">
        <v>50</v>
      </c>
      <c r="C100" s="6" t="s">
        <v>51</v>
      </c>
      <c r="D100" s="6" t="s">
        <v>52</v>
      </c>
      <c r="E100" s="6" t="s">
        <v>170</v>
      </c>
      <c r="F100" s="6" t="s">
        <v>54</v>
      </c>
      <c r="G100" s="6" t="s">
        <v>55</v>
      </c>
      <c r="H100" s="6" t="n">
        <v>7</v>
      </c>
      <c r="I100" s="6" t="s">
        <v>56</v>
      </c>
      <c r="J100" s="6"/>
      <c r="K100" s="6"/>
      <c r="L100" s="6"/>
      <c r="M100" s="6" t="s">
        <v>57</v>
      </c>
      <c r="N100" s="6" t="s">
        <v>171</v>
      </c>
      <c r="O100" s="6" t="s">
        <v>143</v>
      </c>
      <c r="P100" s="6" t="s">
        <v>144</v>
      </c>
      <c r="Q100" s="7" t="n">
        <f aca="false">VLOOKUP(E100,Conditions!$A$2:$I$13,6,FALSE())</f>
        <v>1.1</v>
      </c>
      <c r="R100" s="8" t="n">
        <f aca="false">VLOOKUP(G100,Benchmarks!$A$2:$I$9,5,FALSE())</f>
        <v>1089</v>
      </c>
      <c r="S100" s="8" t="n">
        <f aca="false">VLOOKUP(G100,Benchmarks!$A$2:$I$9,6,FALSE())</f>
        <v>4500</v>
      </c>
      <c r="T100" s="8" t="n">
        <f aca="false">R100*S100*Q100</f>
        <v>5390550</v>
      </c>
      <c r="U100" s="9" t="n">
        <f aca="false">VLOOKUP(F100,Backbones!$A$2:$G$5,6,FALSE())</f>
        <v>0.6</v>
      </c>
      <c r="V100" s="10" t="n">
        <f aca="false">T100/1000000*U100</f>
        <v>3.23433</v>
      </c>
      <c r="W100" s="6" t="s">
        <v>145</v>
      </c>
      <c r="X100" s="6"/>
      <c r="Y100" s="6"/>
    </row>
    <row r="101" customFormat="false" ht="15" hidden="false" customHeight="false" outlineLevel="0" collapsed="false">
      <c r="A101" s="0" t="s">
        <v>174</v>
      </c>
      <c r="B101" s="11" t="s">
        <v>50</v>
      </c>
      <c r="C101" s="0" t="s">
        <v>51</v>
      </c>
      <c r="D101" s="0" t="s">
        <v>52</v>
      </c>
      <c r="E101" s="0" t="s">
        <v>170</v>
      </c>
      <c r="F101" s="0" t="s">
        <v>54</v>
      </c>
      <c r="G101" s="0" t="s">
        <v>63</v>
      </c>
      <c r="H101" s="0" t="n">
        <v>42</v>
      </c>
      <c r="I101" s="11" t="s">
        <v>56</v>
      </c>
      <c r="M101" s="0" t="s">
        <v>57</v>
      </c>
      <c r="N101" s="0" t="s">
        <v>171</v>
      </c>
      <c r="O101" s="0" t="s">
        <v>143</v>
      </c>
      <c r="P101" s="0" t="s">
        <v>144</v>
      </c>
      <c r="Q101" s="12" t="n">
        <f aca="false">VLOOKUP(E101,Conditions!$A$2:$I$13,6,FALSE())</f>
        <v>1.1</v>
      </c>
      <c r="R101" s="13" t="n">
        <f aca="false">VLOOKUP(G101,Benchmarks!$A$2:$I$9,5,FALSE())</f>
        <v>1273</v>
      </c>
      <c r="S101" s="13" t="n">
        <f aca="false">VLOOKUP(G101,Benchmarks!$A$2:$I$9,6,FALSE())</f>
        <v>5000</v>
      </c>
      <c r="T101" s="13" t="n">
        <f aca="false">R101*S101*Q101</f>
        <v>7001500</v>
      </c>
      <c r="U101" s="14" t="n">
        <f aca="false">VLOOKUP(F101,Backbones!$A$2:$G$5,6,FALSE())</f>
        <v>0.6</v>
      </c>
      <c r="V101" s="15" t="n">
        <f aca="false">T101/1000000*U101</f>
        <v>4.2009</v>
      </c>
      <c r="W101" s="11" t="s">
        <v>145</v>
      </c>
    </row>
    <row r="102" customFormat="false" ht="15" hidden="false" customHeight="false" outlineLevel="0" collapsed="false">
      <c r="A102" s="6" t="s">
        <v>175</v>
      </c>
      <c r="B102" s="6" t="s">
        <v>50</v>
      </c>
      <c r="C102" s="6" t="s">
        <v>51</v>
      </c>
      <c r="D102" s="6" t="s">
        <v>52</v>
      </c>
      <c r="E102" s="6" t="s">
        <v>170</v>
      </c>
      <c r="F102" s="6" t="s">
        <v>54</v>
      </c>
      <c r="G102" s="6" t="s">
        <v>63</v>
      </c>
      <c r="H102" s="6" t="n">
        <v>123</v>
      </c>
      <c r="I102" s="6" t="s">
        <v>56</v>
      </c>
      <c r="J102" s="6"/>
      <c r="K102" s="6"/>
      <c r="L102" s="6"/>
      <c r="M102" s="6" t="s">
        <v>57</v>
      </c>
      <c r="N102" s="6" t="s">
        <v>171</v>
      </c>
      <c r="O102" s="6" t="s">
        <v>143</v>
      </c>
      <c r="P102" s="6" t="s">
        <v>144</v>
      </c>
      <c r="Q102" s="7" t="n">
        <f aca="false">VLOOKUP(E102,Conditions!$A$2:$I$13,6,FALSE())</f>
        <v>1.1</v>
      </c>
      <c r="R102" s="8" t="n">
        <f aca="false">VLOOKUP(G102,Benchmarks!$A$2:$I$9,5,FALSE())</f>
        <v>1273</v>
      </c>
      <c r="S102" s="8" t="n">
        <f aca="false">VLOOKUP(G102,Benchmarks!$A$2:$I$9,6,FALSE())</f>
        <v>5000</v>
      </c>
      <c r="T102" s="8" t="n">
        <f aca="false">R102*S102*Q102</f>
        <v>7001500</v>
      </c>
      <c r="U102" s="9" t="n">
        <f aca="false">VLOOKUP(F102,Backbones!$A$2:$G$5,6,FALSE())</f>
        <v>0.6</v>
      </c>
      <c r="V102" s="10" t="n">
        <f aca="false">T102/1000000*U102</f>
        <v>4.2009</v>
      </c>
      <c r="W102" s="6" t="s">
        <v>145</v>
      </c>
      <c r="X102" s="6"/>
      <c r="Y102" s="6"/>
    </row>
    <row r="103" customFormat="false" ht="15" hidden="false" customHeight="false" outlineLevel="0" collapsed="false">
      <c r="A103" s="0" t="s">
        <v>176</v>
      </c>
      <c r="B103" s="11" t="s">
        <v>50</v>
      </c>
      <c r="C103" s="0" t="s">
        <v>51</v>
      </c>
      <c r="D103" s="0" t="s">
        <v>52</v>
      </c>
      <c r="E103" s="0" t="s">
        <v>170</v>
      </c>
      <c r="F103" s="0" t="s">
        <v>54</v>
      </c>
      <c r="G103" s="0" t="s">
        <v>63</v>
      </c>
      <c r="H103" s="0" t="n">
        <v>7</v>
      </c>
      <c r="I103" s="11" t="s">
        <v>56</v>
      </c>
      <c r="M103" s="0" t="s">
        <v>57</v>
      </c>
      <c r="N103" s="0" t="s">
        <v>171</v>
      </c>
      <c r="O103" s="0" t="s">
        <v>143</v>
      </c>
      <c r="P103" s="0" t="s">
        <v>144</v>
      </c>
      <c r="Q103" s="12" t="n">
        <f aca="false">VLOOKUP(E103,Conditions!$A$2:$I$13,6,FALSE())</f>
        <v>1.1</v>
      </c>
      <c r="R103" s="13" t="n">
        <f aca="false">VLOOKUP(G103,Benchmarks!$A$2:$I$9,5,FALSE())</f>
        <v>1273</v>
      </c>
      <c r="S103" s="13" t="n">
        <f aca="false">VLOOKUP(G103,Benchmarks!$A$2:$I$9,6,FALSE())</f>
        <v>5000</v>
      </c>
      <c r="T103" s="13" t="n">
        <f aca="false">R103*S103*Q103</f>
        <v>7001500</v>
      </c>
      <c r="U103" s="14" t="n">
        <f aca="false">VLOOKUP(F103,Backbones!$A$2:$G$5,6,FALSE())</f>
        <v>0.6</v>
      </c>
      <c r="V103" s="15" t="n">
        <f aca="false">T103/1000000*U103</f>
        <v>4.2009</v>
      </c>
      <c r="W103" s="11" t="s">
        <v>145</v>
      </c>
    </row>
    <row r="104" customFormat="false" ht="15" hidden="false" customHeight="false" outlineLevel="0" collapsed="false">
      <c r="A104" s="6" t="s">
        <v>177</v>
      </c>
      <c r="B104" s="6" t="s">
        <v>50</v>
      </c>
      <c r="C104" s="6" t="s">
        <v>51</v>
      </c>
      <c r="D104" s="6" t="s">
        <v>52</v>
      </c>
      <c r="E104" s="6" t="s">
        <v>170</v>
      </c>
      <c r="F104" s="6" t="s">
        <v>54</v>
      </c>
      <c r="G104" s="6" t="s">
        <v>67</v>
      </c>
      <c r="H104" s="6" t="n">
        <v>42</v>
      </c>
      <c r="I104" s="6" t="s">
        <v>56</v>
      </c>
      <c r="J104" s="6"/>
      <c r="K104" s="6"/>
      <c r="L104" s="6"/>
      <c r="M104" s="6" t="s">
        <v>57</v>
      </c>
      <c r="N104" s="6" t="s">
        <v>171</v>
      </c>
      <c r="O104" s="6" t="s">
        <v>143</v>
      </c>
      <c r="P104" s="6" t="s">
        <v>144</v>
      </c>
      <c r="Q104" s="7" t="n">
        <f aca="false">VLOOKUP(E104,Conditions!$A$2:$I$13,6,FALSE())</f>
        <v>1.1</v>
      </c>
      <c r="R104" s="8" t="n">
        <f aca="false">VLOOKUP(G104,Benchmarks!$A$2:$I$9,5,FALSE())</f>
        <v>4183</v>
      </c>
      <c r="S104" s="8" t="n">
        <f aca="false">VLOOKUP(G104,Benchmarks!$A$2:$I$9,6,FALSE())</f>
        <v>4500</v>
      </c>
      <c r="T104" s="8" t="n">
        <f aca="false">R104*S104*Q104</f>
        <v>20705850</v>
      </c>
      <c r="U104" s="9" t="n">
        <f aca="false">VLOOKUP(F104,Backbones!$A$2:$G$5,6,FALSE())</f>
        <v>0.6</v>
      </c>
      <c r="V104" s="10" t="n">
        <f aca="false">T104/1000000*U104</f>
        <v>12.42351</v>
      </c>
      <c r="W104" s="6" t="s">
        <v>145</v>
      </c>
      <c r="X104" s="6"/>
      <c r="Y104" s="6"/>
    </row>
    <row r="105" customFormat="false" ht="15" hidden="false" customHeight="false" outlineLevel="0" collapsed="false">
      <c r="A105" s="0" t="s">
        <v>178</v>
      </c>
      <c r="B105" s="11" t="s">
        <v>50</v>
      </c>
      <c r="C105" s="0" t="s">
        <v>51</v>
      </c>
      <c r="D105" s="0" t="s">
        <v>52</v>
      </c>
      <c r="E105" s="0" t="s">
        <v>170</v>
      </c>
      <c r="F105" s="0" t="s">
        <v>54</v>
      </c>
      <c r="G105" s="0" t="s">
        <v>67</v>
      </c>
      <c r="H105" s="0" t="n">
        <v>123</v>
      </c>
      <c r="I105" s="11" t="s">
        <v>56</v>
      </c>
      <c r="M105" s="0" t="s">
        <v>57</v>
      </c>
      <c r="N105" s="0" t="s">
        <v>171</v>
      </c>
      <c r="O105" s="0" t="s">
        <v>143</v>
      </c>
      <c r="P105" s="0" t="s">
        <v>144</v>
      </c>
      <c r="Q105" s="12" t="n">
        <f aca="false">VLOOKUP(E105,Conditions!$A$2:$I$13,6,FALSE())</f>
        <v>1.1</v>
      </c>
      <c r="R105" s="13" t="n">
        <f aca="false">VLOOKUP(G105,Benchmarks!$A$2:$I$9,5,FALSE())</f>
        <v>4183</v>
      </c>
      <c r="S105" s="13" t="n">
        <f aca="false">VLOOKUP(G105,Benchmarks!$A$2:$I$9,6,FALSE())</f>
        <v>4500</v>
      </c>
      <c r="T105" s="13" t="n">
        <f aca="false">R105*S105*Q105</f>
        <v>20705850</v>
      </c>
      <c r="U105" s="14" t="n">
        <f aca="false">VLOOKUP(F105,Backbones!$A$2:$G$5,6,FALSE())</f>
        <v>0.6</v>
      </c>
      <c r="V105" s="15" t="n">
        <f aca="false">T105/1000000*U105</f>
        <v>12.42351</v>
      </c>
      <c r="W105" s="11" t="s">
        <v>145</v>
      </c>
    </row>
    <row r="106" customFormat="false" ht="15" hidden="false" customHeight="false" outlineLevel="0" collapsed="false">
      <c r="A106" s="6" t="s">
        <v>179</v>
      </c>
      <c r="B106" s="6" t="s">
        <v>50</v>
      </c>
      <c r="C106" s="6" t="s">
        <v>51</v>
      </c>
      <c r="D106" s="6" t="s">
        <v>52</v>
      </c>
      <c r="E106" s="6" t="s">
        <v>170</v>
      </c>
      <c r="F106" s="6" t="s">
        <v>54</v>
      </c>
      <c r="G106" s="6" t="s">
        <v>67</v>
      </c>
      <c r="H106" s="6" t="n">
        <v>7</v>
      </c>
      <c r="I106" s="6" t="s">
        <v>56</v>
      </c>
      <c r="J106" s="6"/>
      <c r="K106" s="6"/>
      <c r="L106" s="6"/>
      <c r="M106" s="6" t="s">
        <v>57</v>
      </c>
      <c r="N106" s="6" t="s">
        <v>171</v>
      </c>
      <c r="O106" s="6" t="s">
        <v>143</v>
      </c>
      <c r="P106" s="6" t="s">
        <v>144</v>
      </c>
      <c r="Q106" s="7" t="n">
        <f aca="false">VLOOKUP(E106,Conditions!$A$2:$I$13,6,FALSE())</f>
        <v>1.1</v>
      </c>
      <c r="R106" s="8" t="n">
        <f aca="false">VLOOKUP(G106,Benchmarks!$A$2:$I$9,5,FALSE())</f>
        <v>4183</v>
      </c>
      <c r="S106" s="8" t="n">
        <f aca="false">VLOOKUP(G106,Benchmarks!$A$2:$I$9,6,FALSE())</f>
        <v>4500</v>
      </c>
      <c r="T106" s="8" t="n">
        <f aca="false">R106*S106*Q106</f>
        <v>20705850</v>
      </c>
      <c r="U106" s="9" t="n">
        <f aca="false">VLOOKUP(F106,Backbones!$A$2:$G$5,6,FALSE())</f>
        <v>0.6</v>
      </c>
      <c r="V106" s="10" t="n">
        <f aca="false">T106/1000000*U106</f>
        <v>12.42351</v>
      </c>
      <c r="W106" s="6" t="s">
        <v>145</v>
      </c>
      <c r="X106" s="6"/>
      <c r="Y106" s="6"/>
    </row>
    <row r="107" customFormat="false" ht="15" hidden="false" customHeight="false" outlineLevel="0" collapsed="false">
      <c r="A107" s="0" t="s">
        <v>180</v>
      </c>
      <c r="B107" s="11" t="s">
        <v>50</v>
      </c>
      <c r="C107" s="0" t="s">
        <v>51</v>
      </c>
      <c r="D107" s="0" t="s">
        <v>52</v>
      </c>
      <c r="E107" s="0" t="s">
        <v>170</v>
      </c>
      <c r="F107" s="0" t="s">
        <v>54</v>
      </c>
      <c r="G107" s="0" t="s">
        <v>71</v>
      </c>
      <c r="H107" s="0" t="n">
        <v>42</v>
      </c>
      <c r="I107" s="11" t="s">
        <v>56</v>
      </c>
      <c r="M107" s="0" t="s">
        <v>57</v>
      </c>
      <c r="N107" s="0" t="s">
        <v>171</v>
      </c>
      <c r="O107" s="0" t="s">
        <v>143</v>
      </c>
      <c r="P107" s="0" t="s">
        <v>144</v>
      </c>
      <c r="Q107" s="12" t="n">
        <f aca="false">VLOOKUP(E107,Conditions!$A$2:$I$13,6,FALSE())</f>
        <v>1.1</v>
      </c>
      <c r="R107" s="13" t="n">
        <f aca="false">VLOOKUP(G107,Benchmarks!$A$2:$I$9,5,FALSE())</f>
        <v>500</v>
      </c>
      <c r="S107" s="13" t="n">
        <f aca="false">VLOOKUP(G107,Benchmarks!$A$2:$I$9,6,FALSE())</f>
        <v>5500</v>
      </c>
      <c r="T107" s="13" t="n">
        <f aca="false">R107*S107*Q107</f>
        <v>3025000</v>
      </c>
      <c r="U107" s="14" t="n">
        <f aca="false">VLOOKUP(F107,Backbones!$A$2:$G$5,6,FALSE())</f>
        <v>0.6</v>
      </c>
      <c r="V107" s="15" t="n">
        <f aca="false">T107/1000000*U107</f>
        <v>1.815</v>
      </c>
      <c r="W107" s="11" t="s">
        <v>145</v>
      </c>
    </row>
    <row r="108" customFormat="false" ht="15" hidden="false" customHeight="false" outlineLevel="0" collapsed="false">
      <c r="A108" s="6" t="s">
        <v>181</v>
      </c>
      <c r="B108" s="6" t="s">
        <v>50</v>
      </c>
      <c r="C108" s="6" t="s">
        <v>51</v>
      </c>
      <c r="D108" s="6" t="s">
        <v>52</v>
      </c>
      <c r="E108" s="6" t="s">
        <v>170</v>
      </c>
      <c r="F108" s="6" t="s">
        <v>54</v>
      </c>
      <c r="G108" s="6" t="s">
        <v>71</v>
      </c>
      <c r="H108" s="6" t="n">
        <v>123</v>
      </c>
      <c r="I108" s="6" t="s">
        <v>56</v>
      </c>
      <c r="J108" s="6"/>
      <c r="K108" s="6"/>
      <c r="L108" s="6"/>
      <c r="M108" s="6" t="s">
        <v>57</v>
      </c>
      <c r="N108" s="6" t="s">
        <v>171</v>
      </c>
      <c r="O108" s="6" t="s">
        <v>143</v>
      </c>
      <c r="P108" s="6" t="s">
        <v>144</v>
      </c>
      <c r="Q108" s="7" t="n">
        <f aca="false">VLOOKUP(E108,Conditions!$A$2:$I$13,6,FALSE())</f>
        <v>1.1</v>
      </c>
      <c r="R108" s="8" t="n">
        <f aca="false">VLOOKUP(G108,Benchmarks!$A$2:$I$9,5,FALSE())</f>
        <v>500</v>
      </c>
      <c r="S108" s="8" t="n">
        <f aca="false">VLOOKUP(G108,Benchmarks!$A$2:$I$9,6,FALSE())</f>
        <v>5500</v>
      </c>
      <c r="T108" s="8" t="n">
        <f aca="false">R108*S108*Q108</f>
        <v>3025000</v>
      </c>
      <c r="U108" s="9" t="n">
        <f aca="false">VLOOKUP(F108,Backbones!$A$2:$G$5,6,FALSE())</f>
        <v>0.6</v>
      </c>
      <c r="V108" s="10" t="n">
        <f aca="false">T108/1000000*U108</f>
        <v>1.815</v>
      </c>
      <c r="W108" s="6" t="s">
        <v>145</v>
      </c>
      <c r="X108" s="6"/>
      <c r="Y108" s="6"/>
    </row>
    <row r="109" customFormat="false" ht="15" hidden="false" customHeight="false" outlineLevel="0" collapsed="false">
      <c r="A109" s="0" t="s">
        <v>182</v>
      </c>
      <c r="B109" s="11" t="s">
        <v>50</v>
      </c>
      <c r="C109" s="0" t="s">
        <v>51</v>
      </c>
      <c r="D109" s="0" t="s">
        <v>52</v>
      </c>
      <c r="E109" s="0" t="s">
        <v>170</v>
      </c>
      <c r="F109" s="0" t="s">
        <v>54</v>
      </c>
      <c r="G109" s="0" t="s">
        <v>71</v>
      </c>
      <c r="H109" s="0" t="n">
        <v>7</v>
      </c>
      <c r="I109" s="11" t="s">
        <v>56</v>
      </c>
      <c r="M109" s="0" t="s">
        <v>57</v>
      </c>
      <c r="N109" s="0" t="s">
        <v>171</v>
      </c>
      <c r="O109" s="0" t="s">
        <v>143</v>
      </c>
      <c r="P109" s="0" t="s">
        <v>144</v>
      </c>
      <c r="Q109" s="12" t="n">
        <f aca="false">VLOOKUP(E109,Conditions!$A$2:$I$13,6,FALSE())</f>
        <v>1.1</v>
      </c>
      <c r="R109" s="13" t="n">
        <f aca="false">VLOOKUP(G109,Benchmarks!$A$2:$I$9,5,FALSE())</f>
        <v>500</v>
      </c>
      <c r="S109" s="13" t="n">
        <f aca="false">VLOOKUP(G109,Benchmarks!$A$2:$I$9,6,FALSE())</f>
        <v>5500</v>
      </c>
      <c r="T109" s="13" t="n">
        <f aca="false">R109*S109*Q109</f>
        <v>3025000</v>
      </c>
      <c r="U109" s="14" t="n">
        <f aca="false">VLOOKUP(F109,Backbones!$A$2:$G$5,6,FALSE())</f>
        <v>0.6</v>
      </c>
      <c r="V109" s="15" t="n">
        <f aca="false">T109/1000000*U109</f>
        <v>1.815</v>
      </c>
      <c r="W109" s="11" t="s">
        <v>145</v>
      </c>
    </row>
    <row r="110" customFormat="false" ht="15" hidden="false" customHeight="false" outlineLevel="0" collapsed="false">
      <c r="A110" s="6" t="s">
        <v>183</v>
      </c>
      <c r="B110" s="6" t="s">
        <v>50</v>
      </c>
      <c r="C110" s="6" t="s">
        <v>51</v>
      </c>
      <c r="D110" s="6" t="s">
        <v>52</v>
      </c>
      <c r="E110" s="6" t="s">
        <v>170</v>
      </c>
      <c r="F110" s="6" t="s">
        <v>54</v>
      </c>
      <c r="G110" s="6" t="s">
        <v>75</v>
      </c>
      <c r="H110" s="6" t="n">
        <v>42</v>
      </c>
      <c r="I110" s="6" t="s">
        <v>56</v>
      </c>
      <c r="J110" s="6"/>
      <c r="K110" s="6"/>
      <c r="L110" s="6"/>
      <c r="M110" s="6" t="s">
        <v>57</v>
      </c>
      <c r="N110" s="6" t="s">
        <v>171</v>
      </c>
      <c r="O110" s="6" t="s">
        <v>143</v>
      </c>
      <c r="P110" s="6" t="s">
        <v>144</v>
      </c>
      <c r="Q110" s="7" t="n">
        <f aca="false">VLOOKUP(E110,Conditions!$A$2:$I$13,6,FALSE())</f>
        <v>1.1</v>
      </c>
      <c r="R110" s="8" t="n">
        <f aca="false">VLOOKUP(G110,Benchmarks!$A$2:$I$9,5,FALSE())</f>
        <v>618</v>
      </c>
      <c r="S110" s="8" t="n">
        <f aca="false">VLOOKUP(G110,Benchmarks!$A$2:$I$9,6,FALSE())</f>
        <v>5000</v>
      </c>
      <c r="T110" s="8" t="n">
        <f aca="false">R110*S110*Q110</f>
        <v>3399000</v>
      </c>
      <c r="U110" s="9" t="n">
        <f aca="false">VLOOKUP(F110,Backbones!$A$2:$G$5,6,FALSE())</f>
        <v>0.6</v>
      </c>
      <c r="V110" s="10" t="n">
        <f aca="false">T110/1000000*U110</f>
        <v>2.0394</v>
      </c>
      <c r="W110" s="6" t="s">
        <v>145</v>
      </c>
      <c r="X110" s="6"/>
      <c r="Y110" s="6"/>
    </row>
    <row r="111" customFormat="false" ht="15" hidden="false" customHeight="false" outlineLevel="0" collapsed="false">
      <c r="A111" s="0" t="s">
        <v>184</v>
      </c>
      <c r="B111" s="11" t="s">
        <v>50</v>
      </c>
      <c r="C111" s="0" t="s">
        <v>51</v>
      </c>
      <c r="D111" s="0" t="s">
        <v>52</v>
      </c>
      <c r="E111" s="0" t="s">
        <v>170</v>
      </c>
      <c r="F111" s="0" t="s">
        <v>54</v>
      </c>
      <c r="G111" s="0" t="s">
        <v>75</v>
      </c>
      <c r="H111" s="0" t="n">
        <v>123</v>
      </c>
      <c r="I111" s="11" t="s">
        <v>56</v>
      </c>
      <c r="M111" s="0" t="s">
        <v>57</v>
      </c>
      <c r="N111" s="0" t="s">
        <v>171</v>
      </c>
      <c r="O111" s="0" t="s">
        <v>143</v>
      </c>
      <c r="P111" s="0" t="s">
        <v>144</v>
      </c>
      <c r="Q111" s="12" t="n">
        <f aca="false">VLOOKUP(E111,Conditions!$A$2:$I$13,6,FALSE())</f>
        <v>1.1</v>
      </c>
      <c r="R111" s="13" t="n">
        <f aca="false">VLOOKUP(G111,Benchmarks!$A$2:$I$9,5,FALSE())</f>
        <v>618</v>
      </c>
      <c r="S111" s="13" t="n">
        <f aca="false">VLOOKUP(G111,Benchmarks!$A$2:$I$9,6,FALSE())</f>
        <v>5000</v>
      </c>
      <c r="T111" s="13" t="n">
        <f aca="false">R111*S111*Q111</f>
        <v>3399000</v>
      </c>
      <c r="U111" s="14" t="n">
        <f aca="false">VLOOKUP(F111,Backbones!$A$2:$G$5,6,FALSE())</f>
        <v>0.6</v>
      </c>
      <c r="V111" s="15" t="n">
        <f aca="false">T111/1000000*U111</f>
        <v>2.0394</v>
      </c>
      <c r="W111" s="11" t="s">
        <v>145</v>
      </c>
    </row>
    <row r="112" customFormat="false" ht="15" hidden="false" customHeight="false" outlineLevel="0" collapsed="false">
      <c r="A112" s="6" t="s">
        <v>185</v>
      </c>
      <c r="B112" s="6" t="s">
        <v>50</v>
      </c>
      <c r="C112" s="6" t="s">
        <v>51</v>
      </c>
      <c r="D112" s="6" t="s">
        <v>52</v>
      </c>
      <c r="E112" s="6" t="s">
        <v>170</v>
      </c>
      <c r="F112" s="6" t="s">
        <v>54</v>
      </c>
      <c r="G112" s="6" t="s">
        <v>75</v>
      </c>
      <c r="H112" s="6" t="n">
        <v>7</v>
      </c>
      <c r="I112" s="6" t="s">
        <v>56</v>
      </c>
      <c r="J112" s="6"/>
      <c r="K112" s="6"/>
      <c r="L112" s="6"/>
      <c r="M112" s="6" t="s">
        <v>57</v>
      </c>
      <c r="N112" s="6" t="s">
        <v>171</v>
      </c>
      <c r="O112" s="6" t="s">
        <v>143</v>
      </c>
      <c r="P112" s="6" t="s">
        <v>144</v>
      </c>
      <c r="Q112" s="7" t="n">
        <f aca="false">VLOOKUP(E112,Conditions!$A$2:$I$13,6,FALSE())</f>
        <v>1.1</v>
      </c>
      <c r="R112" s="8" t="n">
        <f aca="false">VLOOKUP(G112,Benchmarks!$A$2:$I$9,5,FALSE())</f>
        <v>618</v>
      </c>
      <c r="S112" s="8" t="n">
        <f aca="false">VLOOKUP(G112,Benchmarks!$A$2:$I$9,6,FALSE())</f>
        <v>5000</v>
      </c>
      <c r="T112" s="8" t="n">
        <f aca="false">R112*S112*Q112</f>
        <v>3399000</v>
      </c>
      <c r="U112" s="9" t="n">
        <f aca="false">VLOOKUP(F112,Backbones!$A$2:$G$5,6,FALSE())</f>
        <v>0.6</v>
      </c>
      <c r="V112" s="10" t="n">
        <f aca="false">T112/1000000*U112</f>
        <v>2.0394</v>
      </c>
      <c r="W112" s="6" t="s">
        <v>145</v>
      </c>
      <c r="X112" s="6"/>
      <c r="Y112" s="6"/>
    </row>
    <row r="113" customFormat="false" ht="15" hidden="false" customHeight="false" outlineLevel="0" collapsed="false">
      <c r="A113" s="0" t="s">
        <v>186</v>
      </c>
      <c r="B113" s="11" t="s">
        <v>50</v>
      </c>
      <c r="C113" s="0" t="s">
        <v>51</v>
      </c>
      <c r="D113" s="0" t="s">
        <v>52</v>
      </c>
      <c r="E113" s="0" t="s">
        <v>170</v>
      </c>
      <c r="F113" s="0" t="s">
        <v>54</v>
      </c>
      <c r="G113" s="0" t="s">
        <v>79</v>
      </c>
      <c r="H113" s="0" t="n">
        <v>42</v>
      </c>
      <c r="I113" s="11" t="s">
        <v>56</v>
      </c>
      <c r="M113" s="0" t="s">
        <v>57</v>
      </c>
      <c r="N113" s="0" t="s">
        <v>171</v>
      </c>
      <c r="O113" s="0" t="s">
        <v>143</v>
      </c>
      <c r="P113" s="0" t="s">
        <v>144</v>
      </c>
      <c r="Q113" s="12" t="n">
        <f aca="false">VLOOKUP(E113,Conditions!$A$2:$I$13,6,FALSE())</f>
        <v>1.1</v>
      </c>
      <c r="R113" s="13" t="n">
        <f aca="false">VLOOKUP(G113,Benchmarks!$A$2:$I$9,5,FALSE())</f>
        <v>50</v>
      </c>
      <c r="S113" s="13" t="n">
        <f aca="false">VLOOKUP(G113,Benchmarks!$A$2:$I$9,6,FALSE())</f>
        <v>8000</v>
      </c>
      <c r="T113" s="13" t="n">
        <f aca="false">R113*S113*Q113</f>
        <v>440000</v>
      </c>
      <c r="U113" s="14" t="n">
        <f aca="false">VLOOKUP(F113,Backbones!$A$2:$G$5,6,FALSE())</f>
        <v>0.6</v>
      </c>
      <c r="V113" s="15" t="n">
        <f aca="false">T113/1000000*U113</f>
        <v>0.264</v>
      </c>
      <c r="W113" s="11" t="s">
        <v>145</v>
      </c>
    </row>
    <row r="114" customFormat="false" ht="15" hidden="false" customHeight="false" outlineLevel="0" collapsed="false">
      <c r="A114" s="6" t="s">
        <v>187</v>
      </c>
      <c r="B114" s="6" t="s">
        <v>50</v>
      </c>
      <c r="C114" s="6" t="s">
        <v>51</v>
      </c>
      <c r="D114" s="6" t="s">
        <v>52</v>
      </c>
      <c r="E114" s="6" t="s">
        <v>170</v>
      </c>
      <c r="F114" s="6" t="s">
        <v>54</v>
      </c>
      <c r="G114" s="6" t="s">
        <v>79</v>
      </c>
      <c r="H114" s="6" t="n">
        <v>123</v>
      </c>
      <c r="I114" s="6" t="s">
        <v>56</v>
      </c>
      <c r="J114" s="6"/>
      <c r="K114" s="6"/>
      <c r="L114" s="6"/>
      <c r="M114" s="6" t="s">
        <v>57</v>
      </c>
      <c r="N114" s="6" t="s">
        <v>171</v>
      </c>
      <c r="O114" s="6" t="s">
        <v>143</v>
      </c>
      <c r="P114" s="6" t="s">
        <v>144</v>
      </c>
      <c r="Q114" s="7" t="n">
        <f aca="false">VLOOKUP(E114,Conditions!$A$2:$I$13,6,FALSE())</f>
        <v>1.1</v>
      </c>
      <c r="R114" s="8" t="n">
        <f aca="false">VLOOKUP(G114,Benchmarks!$A$2:$I$9,5,FALSE())</f>
        <v>50</v>
      </c>
      <c r="S114" s="8" t="n">
        <f aca="false">VLOOKUP(G114,Benchmarks!$A$2:$I$9,6,FALSE())</f>
        <v>8000</v>
      </c>
      <c r="T114" s="8" t="n">
        <f aca="false">R114*S114*Q114</f>
        <v>440000</v>
      </c>
      <c r="U114" s="9" t="n">
        <f aca="false">VLOOKUP(F114,Backbones!$A$2:$G$5,6,FALSE())</f>
        <v>0.6</v>
      </c>
      <c r="V114" s="10" t="n">
        <f aca="false">T114/1000000*U114</f>
        <v>0.264</v>
      </c>
      <c r="W114" s="6" t="s">
        <v>145</v>
      </c>
      <c r="X114" s="6"/>
      <c r="Y114" s="6"/>
    </row>
    <row r="115" customFormat="false" ht="15" hidden="false" customHeight="false" outlineLevel="0" collapsed="false">
      <c r="A115" s="0" t="s">
        <v>188</v>
      </c>
      <c r="B115" s="11" t="s">
        <v>50</v>
      </c>
      <c r="C115" s="0" t="s">
        <v>51</v>
      </c>
      <c r="D115" s="0" t="s">
        <v>52</v>
      </c>
      <c r="E115" s="0" t="s">
        <v>170</v>
      </c>
      <c r="F115" s="0" t="s">
        <v>54</v>
      </c>
      <c r="G115" s="0" t="s">
        <v>79</v>
      </c>
      <c r="H115" s="0" t="n">
        <v>7</v>
      </c>
      <c r="I115" s="11" t="s">
        <v>56</v>
      </c>
      <c r="M115" s="0" t="s">
        <v>57</v>
      </c>
      <c r="N115" s="0" t="s">
        <v>171</v>
      </c>
      <c r="O115" s="0" t="s">
        <v>143</v>
      </c>
      <c r="P115" s="0" t="s">
        <v>144</v>
      </c>
      <c r="Q115" s="12" t="n">
        <f aca="false">VLOOKUP(E115,Conditions!$A$2:$I$13,6,FALSE())</f>
        <v>1.1</v>
      </c>
      <c r="R115" s="13" t="n">
        <f aca="false">VLOOKUP(G115,Benchmarks!$A$2:$I$9,5,FALSE())</f>
        <v>50</v>
      </c>
      <c r="S115" s="13" t="n">
        <f aca="false">VLOOKUP(G115,Benchmarks!$A$2:$I$9,6,FALSE())</f>
        <v>8000</v>
      </c>
      <c r="T115" s="13" t="n">
        <f aca="false">R115*S115*Q115</f>
        <v>440000</v>
      </c>
      <c r="U115" s="14" t="n">
        <f aca="false">VLOOKUP(F115,Backbones!$A$2:$G$5,6,FALSE())</f>
        <v>0.6</v>
      </c>
      <c r="V115" s="15" t="n">
        <f aca="false">T115/1000000*U115</f>
        <v>0.264</v>
      </c>
      <c r="W115" s="11" t="s">
        <v>145</v>
      </c>
    </row>
    <row r="116" customFormat="false" ht="15" hidden="false" customHeight="false" outlineLevel="0" collapsed="false">
      <c r="A116" s="6" t="s">
        <v>189</v>
      </c>
      <c r="B116" s="6" t="s">
        <v>50</v>
      </c>
      <c r="C116" s="6" t="s">
        <v>51</v>
      </c>
      <c r="D116" s="6" t="s">
        <v>52</v>
      </c>
      <c r="E116" s="6" t="s">
        <v>170</v>
      </c>
      <c r="F116" s="6" t="s">
        <v>54</v>
      </c>
      <c r="G116" s="6" t="s">
        <v>83</v>
      </c>
      <c r="H116" s="6" t="n">
        <v>42</v>
      </c>
      <c r="I116" s="6" t="s">
        <v>56</v>
      </c>
      <c r="J116" s="6"/>
      <c r="K116" s="6"/>
      <c r="L116" s="6"/>
      <c r="M116" s="6" t="s">
        <v>57</v>
      </c>
      <c r="N116" s="6" t="s">
        <v>171</v>
      </c>
      <c r="O116" s="6" t="s">
        <v>143</v>
      </c>
      <c r="P116" s="6" t="s">
        <v>144</v>
      </c>
      <c r="Q116" s="7" t="n">
        <f aca="false">VLOOKUP(E116,Conditions!$A$2:$I$13,6,FALSE())</f>
        <v>1.1</v>
      </c>
      <c r="R116" s="8" t="n">
        <f aca="false">VLOOKUP(G116,Benchmarks!$A$2:$I$9,5,FALSE())</f>
        <v>200</v>
      </c>
      <c r="S116" s="8" t="n">
        <f aca="false">VLOOKUP(G116,Benchmarks!$A$2:$I$9,6,FALSE())</f>
        <v>8000</v>
      </c>
      <c r="T116" s="8" t="n">
        <f aca="false">R116*S116*Q116</f>
        <v>1760000</v>
      </c>
      <c r="U116" s="9" t="n">
        <f aca="false">VLOOKUP(F116,Backbones!$A$2:$G$5,6,FALSE())</f>
        <v>0.6</v>
      </c>
      <c r="V116" s="10" t="n">
        <f aca="false">T116/1000000*U116</f>
        <v>1.056</v>
      </c>
      <c r="W116" s="6" t="s">
        <v>145</v>
      </c>
      <c r="X116" s="6"/>
      <c r="Y116" s="6"/>
    </row>
    <row r="117" customFormat="false" ht="15" hidden="false" customHeight="false" outlineLevel="0" collapsed="false">
      <c r="A117" s="0" t="s">
        <v>190</v>
      </c>
      <c r="B117" s="11" t="s">
        <v>50</v>
      </c>
      <c r="C117" s="0" t="s">
        <v>51</v>
      </c>
      <c r="D117" s="0" t="s">
        <v>52</v>
      </c>
      <c r="E117" s="0" t="s">
        <v>170</v>
      </c>
      <c r="F117" s="0" t="s">
        <v>54</v>
      </c>
      <c r="G117" s="0" t="s">
        <v>83</v>
      </c>
      <c r="H117" s="0" t="n">
        <v>123</v>
      </c>
      <c r="I117" s="11" t="s">
        <v>56</v>
      </c>
      <c r="M117" s="0" t="s">
        <v>57</v>
      </c>
      <c r="N117" s="0" t="s">
        <v>171</v>
      </c>
      <c r="O117" s="0" t="s">
        <v>143</v>
      </c>
      <c r="P117" s="0" t="s">
        <v>144</v>
      </c>
      <c r="Q117" s="12" t="n">
        <f aca="false">VLOOKUP(E117,Conditions!$A$2:$I$13,6,FALSE())</f>
        <v>1.1</v>
      </c>
      <c r="R117" s="13" t="n">
        <f aca="false">VLOOKUP(G117,Benchmarks!$A$2:$I$9,5,FALSE())</f>
        <v>200</v>
      </c>
      <c r="S117" s="13" t="n">
        <f aca="false">VLOOKUP(G117,Benchmarks!$A$2:$I$9,6,FALSE())</f>
        <v>8000</v>
      </c>
      <c r="T117" s="13" t="n">
        <f aca="false">R117*S117*Q117</f>
        <v>1760000</v>
      </c>
      <c r="U117" s="14" t="n">
        <f aca="false">VLOOKUP(F117,Backbones!$A$2:$G$5,6,FALSE())</f>
        <v>0.6</v>
      </c>
      <c r="V117" s="15" t="n">
        <f aca="false">T117/1000000*U117</f>
        <v>1.056</v>
      </c>
      <c r="W117" s="11" t="s">
        <v>145</v>
      </c>
    </row>
    <row r="118" customFormat="false" ht="15" hidden="false" customHeight="false" outlineLevel="0" collapsed="false">
      <c r="A118" s="6" t="s">
        <v>191</v>
      </c>
      <c r="B118" s="6" t="s">
        <v>50</v>
      </c>
      <c r="C118" s="6" t="s">
        <v>51</v>
      </c>
      <c r="D118" s="6" t="s">
        <v>52</v>
      </c>
      <c r="E118" s="6" t="s">
        <v>170</v>
      </c>
      <c r="F118" s="6" t="s">
        <v>54</v>
      </c>
      <c r="G118" s="6" t="s">
        <v>83</v>
      </c>
      <c r="H118" s="6" t="n">
        <v>7</v>
      </c>
      <c r="I118" s="6" t="s">
        <v>56</v>
      </c>
      <c r="J118" s="6"/>
      <c r="K118" s="6"/>
      <c r="L118" s="6"/>
      <c r="M118" s="6" t="s">
        <v>57</v>
      </c>
      <c r="N118" s="6" t="s">
        <v>171</v>
      </c>
      <c r="O118" s="6" t="s">
        <v>143</v>
      </c>
      <c r="P118" s="6" t="s">
        <v>144</v>
      </c>
      <c r="Q118" s="7" t="n">
        <f aca="false">VLOOKUP(E118,Conditions!$A$2:$I$13,6,FALSE())</f>
        <v>1.1</v>
      </c>
      <c r="R118" s="8" t="n">
        <f aca="false">VLOOKUP(G118,Benchmarks!$A$2:$I$9,5,FALSE())</f>
        <v>200</v>
      </c>
      <c r="S118" s="8" t="n">
        <f aca="false">VLOOKUP(G118,Benchmarks!$A$2:$I$9,6,FALSE())</f>
        <v>8000</v>
      </c>
      <c r="T118" s="8" t="n">
        <f aca="false">R118*S118*Q118</f>
        <v>1760000</v>
      </c>
      <c r="U118" s="9" t="n">
        <f aca="false">VLOOKUP(F118,Backbones!$A$2:$G$5,6,FALSE())</f>
        <v>0.6</v>
      </c>
      <c r="V118" s="10" t="n">
        <f aca="false">T118/1000000*U118</f>
        <v>1.056</v>
      </c>
      <c r="W118" s="6" t="s">
        <v>145</v>
      </c>
      <c r="X118" s="6"/>
      <c r="Y118" s="6"/>
    </row>
    <row r="119" customFormat="false" ht="15" hidden="false" customHeight="false" outlineLevel="0" collapsed="false">
      <c r="A119" s="0" t="s">
        <v>192</v>
      </c>
      <c r="B119" s="11" t="s">
        <v>50</v>
      </c>
      <c r="C119" s="0" t="s">
        <v>51</v>
      </c>
      <c r="D119" s="0" t="s">
        <v>52</v>
      </c>
      <c r="E119" s="0" t="s">
        <v>170</v>
      </c>
      <c r="F119" s="0" t="s">
        <v>54</v>
      </c>
      <c r="G119" s="0" t="s">
        <v>87</v>
      </c>
      <c r="H119" s="0" t="n">
        <v>42</v>
      </c>
      <c r="I119" s="11" t="s">
        <v>56</v>
      </c>
      <c r="M119" s="0" t="s">
        <v>57</v>
      </c>
      <c r="N119" s="0" t="s">
        <v>171</v>
      </c>
      <c r="O119" s="0" t="s">
        <v>143</v>
      </c>
      <c r="P119" s="0" t="s">
        <v>144</v>
      </c>
      <c r="Q119" s="12" t="n">
        <f aca="false">VLOOKUP(E119,Conditions!$A$2:$I$13,6,FALSE())</f>
        <v>1.1</v>
      </c>
      <c r="R119" s="13" t="n">
        <f aca="false">VLOOKUP(G119,Benchmarks!$A$2:$I$9,5,FALSE())</f>
        <v>150</v>
      </c>
      <c r="S119" s="13" t="n">
        <f aca="false">VLOOKUP(G119,Benchmarks!$A$2:$I$9,6,FALSE())</f>
        <v>6000</v>
      </c>
      <c r="T119" s="13" t="n">
        <f aca="false">R119*S119*Q119</f>
        <v>990000</v>
      </c>
      <c r="U119" s="14" t="n">
        <f aca="false">VLOOKUP(F119,Backbones!$A$2:$G$5,6,FALSE())</f>
        <v>0.6</v>
      </c>
      <c r="V119" s="15" t="n">
        <f aca="false">T119/1000000*U119</f>
        <v>0.594</v>
      </c>
      <c r="W119" s="11" t="s">
        <v>145</v>
      </c>
    </row>
    <row r="120" customFormat="false" ht="15" hidden="false" customHeight="false" outlineLevel="0" collapsed="false">
      <c r="A120" s="6" t="s">
        <v>193</v>
      </c>
      <c r="B120" s="6" t="s">
        <v>50</v>
      </c>
      <c r="C120" s="6" t="s">
        <v>51</v>
      </c>
      <c r="D120" s="6" t="s">
        <v>52</v>
      </c>
      <c r="E120" s="6" t="s">
        <v>170</v>
      </c>
      <c r="F120" s="6" t="s">
        <v>54</v>
      </c>
      <c r="G120" s="6" t="s">
        <v>87</v>
      </c>
      <c r="H120" s="6" t="n">
        <v>123</v>
      </c>
      <c r="I120" s="6" t="s">
        <v>56</v>
      </c>
      <c r="J120" s="6"/>
      <c r="K120" s="6"/>
      <c r="L120" s="6"/>
      <c r="M120" s="6" t="s">
        <v>57</v>
      </c>
      <c r="N120" s="6" t="s">
        <v>171</v>
      </c>
      <c r="O120" s="6" t="s">
        <v>143</v>
      </c>
      <c r="P120" s="6" t="s">
        <v>144</v>
      </c>
      <c r="Q120" s="7" t="n">
        <f aca="false">VLOOKUP(E120,Conditions!$A$2:$I$13,6,FALSE())</f>
        <v>1.1</v>
      </c>
      <c r="R120" s="8" t="n">
        <f aca="false">VLOOKUP(G120,Benchmarks!$A$2:$I$9,5,FALSE())</f>
        <v>150</v>
      </c>
      <c r="S120" s="8" t="n">
        <f aca="false">VLOOKUP(G120,Benchmarks!$A$2:$I$9,6,FALSE())</f>
        <v>6000</v>
      </c>
      <c r="T120" s="8" t="n">
        <f aca="false">R120*S120*Q120</f>
        <v>990000</v>
      </c>
      <c r="U120" s="9" t="n">
        <f aca="false">VLOOKUP(F120,Backbones!$A$2:$G$5,6,FALSE())</f>
        <v>0.6</v>
      </c>
      <c r="V120" s="10" t="n">
        <f aca="false">T120/1000000*U120</f>
        <v>0.594</v>
      </c>
      <c r="W120" s="6" t="s">
        <v>145</v>
      </c>
      <c r="X120" s="6"/>
      <c r="Y120" s="6"/>
    </row>
    <row r="121" customFormat="false" ht="15" hidden="false" customHeight="false" outlineLevel="0" collapsed="false">
      <c r="A121" s="0" t="s">
        <v>194</v>
      </c>
      <c r="B121" s="11" t="s">
        <v>50</v>
      </c>
      <c r="C121" s="0" t="s">
        <v>51</v>
      </c>
      <c r="D121" s="0" t="s">
        <v>52</v>
      </c>
      <c r="E121" s="0" t="s">
        <v>170</v>
      </c>
      <c r="F121" s="0" t="s">
        <v>54</v>
      </c>
      <c r="G121" s="0" t="s">
        <v>87</v>
      </c>
      <c r="H121" s="0" t="n">
        <v>7</v>
      </c>
      <c r="I121" s="11" t="s">
        <v>56</v>
      </c>
      <c r="M121" s="0" t="s">
        <v>57</v>
      </c>
      <c r="N121" s="0" t="s">
        <v>171</v>
      </c>
      <c r="O121" s="0" t="s">
        <v>143</v>
      </c>
      <c r="P121" s="0" t="s">
        <v>144</v>
      </c>
      <c r="Q121" s="12" t="n">
        <f aca="false">VLOOKUP(E121,Conditions!$A$2:$I$13,6,FALSE())</f>
        <v>1.1</v>
      </c>
      <c r="R121" s="13" t="n">
        <f aca="false">VLOOKUP(G121,Benchmarks!$A$2:$I$9,5,FALSE())</f>
        <v>150</v>
      </c>
      <c r="S121" s="13" t="n">
        <f aca="false">VLOOKUP(G121,Benchmarks!$A$2:$I$9,6,FALSE())</f>
        <v>6000</v>
      </c>
      <c r="T121" s="13" t="n">
        <f aca="false">R121*S121*Q121</f>
        <v>990000</v>
      </c>
      <c r="U121" s="14" t="n">
        <f aca="false">VLOOKUP(F121,Backbones!$A$2:$G$5,6,FALSE())</f>
        <v>0.6</v>
      </c>
      <c r="V121" s="15" t="n">
        <f aca="false">T121/1000000*U121</f>
        <v>0.594</v>
      </c>
      <c r="W121" s="11" t="s">
        <v>145</v>
      </c>
    </row>
    <row r="122" customFormat="false" ht="15" hidden="false" customHeight="false" outlineLevel="0" collapsed="false">
      <c r="A122" s="6" t="s">
        <v>195</v>
      </c>
      <c r="B122" s="6" t="s">
        <v>50</v>
      </c>
      <c r="C122" s="6" t="s">
        <v>51</v>
      </c>
      <c r="D122" s="6" t="s">
        <v>52</v>
      </c>
      <c r="E122" s="6" t="s">
        <v>196</v>
      </c>
      <c r="F122" s="6" t="s">
        <v>54</v>
      </c>
      <c r="G122" s="6" t="s">
        <v>55</v>
      </c>
      <c r="H122" s="6" t="n">
        <v>42</v>
      </c>
      <c r="I122" s="6" t="s">
        <v>56</v>
      </c>
      <c r="J122" s="6"/>
      <c r="K122" s="6"/>
      <c r="L122" s="6"/>
      <c r="M122" s="6" t="s">
        <v>197</v>
      </c>
      <c r="N122" s="6" t="s">
        <v>58</v>
      </c>
      <c r="O122" s="6" t="s">
        <v>143</v>
      </c>
      <c r="P122" s="6" t="s">
        <v>92</v>
      </c>
      <c r="Q122" s="7" t="n">
        <f aca="false">VLOOKUP(E122,Conditions!$A$2:$I$13,6,FALSE())</f>
        <v>1.1</v>
      </c>
      <c r="R122" s="8" t="n">
        <f aca="false">VLOOKUP(G122,Benchmarks!$A$2:$I$9,5,FALSE())</f>
        <v>1089</v>
      </c>
      <c r="S122" s="8" t="n">
        <f aca="false">VLOOKUP(G122,Benchmarks!$A$2:$I$9,6,FALSE())</f>
        <v>4500</v>
      </c>
      <c r="T122" s="8" t="n">
        <f aca="false">R122*S122*Q122</f>
        <v>5390550</v>
      </c>
      <c r="U122" s="9" t="n">
        <f aca="false">VLOOKUP(F122,Backbones!$A$2:$G$5,6,FALSE())</f>
        <v>0.6</v>
      </c>
      <c r="V122" s="10" t="n">
        <f aca="false">T122/1000000*U122</f>
        <v>3.23433</v>
      </c>
      <c r="W122" s="6" t="s">
        <v>59</v>
      </c>
      <c r="X122" s="6"/>
      <c r="Y122" s="6"/>
    </row>
    <row r="123" customFormat="false" ht="15" hidden="false" customHeight="false" outlineLevel="0" collapsed="false">
      <c r="A123" s="0" t="s">
        <v>198</v>
      </c>
      <c r="B123" s="11" t="s">
        <v>50</v>
      </c>
      <c r="C123" s="0" t="s">
        <v>51</v>
      </c>
      <c r="D123" s="0" t="s">
        <v>52</v>
      </c>
      <c r="E123" s="0" t="s">
        <v>196</v>
      </c>
      <c r="F123" s="0" t="s">
        <v>54</v>
      </c>
      <c r="G123" s="0" t="s">
        <v>55</v>
      </c>
      <c r="H123" s="0" t="n">
        <v>123</v>
      </c>
      <c r="I123" s="11" t="s">
        <v>56</v>
      </c>
      <c r="M123" s="0" t="s">
        <v>197</v>
      </c>
      <c r="N123" s="0" t="s">
        <v>58</v>
      </c>
      <c r="O123" s="0" t="s">
        <v>143</v>
      </c>
      <c r="P123" s="0" t="s">
        <v>92</v>
      </c>
      <c r="Q123" s="12" t="n">
        <f aca="false">VLOOKUP(E123,Conditions!$A$2:$I$13,6,FALSE())</f>
        <v>1.1</v>
      </c>
      <c r="R123" s="13" t="n">
        <f aca="false">VLOOKUP(G123,Benchmarks!$A$2:$I$9,5,FALSE())</f>
        <v>1089</v>
      </c>
      <c r="S123" s="13" t="n">
        <f aca="false">VLOOKUP(G123,Benchmarks!$A$2:$I$9,6,FALSE())</f>
        <v>4500</v>
      </c>
      <c r="T123" s="13" t="n">
        <f aca="false">R123*S123*Q123</f>
        <v>5390550</v>
      </c>
      <c r="U123" s="14" t="n">
        <f aca="false">VLOOKUP(F123,Backbones!$A$2:$G$5,6,FALSE())</f>
        <v>0.6</v>
      </c>
      <c r="V123" s="15" t="n">
        <f aca="false">T123/1000000*U123</f>
        <v>3.23433</v>
      </c>
      <c r="W123" s="11" t="s">
        <v>59</v>
      </c>
    </row>
    <row r="124" customFormat="false" ht="15" hidden="false" customHeight="false" outlineLevel="0" collapsed="false">
      <c r="A124" s="6" t="s">
        <v>199</v>
      </c>
      <c r="B124" s="6" t="s">
        <v>50</v>
      </c>
      <c r="C124" s="6" t="s">
        <v>51</v>
      </c>
      <c r="D124" s="6" t="s">
        <v>52</v>
      </c>
      <c r="E124" s="6" t="s">
        <v>196</v>
      </c>
      <c r="F124" s="6" t="s">
        <v>54</v>
      </c>
      <c r="G124" s="6" t="s">
        <v>55</v>
      </c>
      <c r="H124" s="6" t="n">
        <v>7</v>
      </c>
      <c r="I124" s="6" t="s">
        <v>56</v>
      </c>
      <c r="J124" s="6"/>
      <c r="K124" s="6"/>
      <c r="L124" s="6"/>
      <c r="M124" s="6" t="s">
        <v>197</v>
      </c>
      <c r="N124" s="6" t="s">
        <v>58</v>
      </c>
      <c r="O124" s="6" t="s">
        <v>143</v>
      </c>
      <c r="P124" s="6" t="s">
        <v>92</v>
      </c>
      <c r="Q124" s="7" t="n">
        <f aca="false">VLOOKUP(E124,Conditions!$A$2:$I$13,6,FALSE())</f>
        <v>1.1</v>
      </c>
      <c r="R124" s="8" t="n">
        <f aca="false">VLOOKUP(G124,Benchmarks!$A$2:$I$9,5,FALSE())</f>
        <v>1089</v>
      </c>
      <c r="S124" s="8" t="n">
        <f aca="false">VLOOKUP(G124,Benchmarks!$A$2:$I$9,6,FALSE())</f>
        <v>4500</v>
      </c>
      <c r="T124" s="8" t="n">
        <f aca="false">R124*S124*Q124</f>
        <v>5390550</v>
      </c>
      <c r="U124" s="9" t="n">
        <f aca="false">VLOOKUP(F124,Backbones!$A$2:$G$5,6,FALSE())</f>
        <v>0.6</v>
      </c>
      <c r="V124" s="10" t="n">
        <f aca="false">T124/1000000*U124</f>
        <v>3.23433</v>
      </c>
      <c r="W124" s="6" t="s">
        <v>59</v>
      </c>
      <c r="X124" s="6"/>
      <c r="Y124" s="6"/>
    </row>
    <row r="125" customFormat="false" ht="15" hidden="false" customHeight="false" outlineLevel="0" collapsed="false">
      <c r="A125" s="0" t="s">
        <v>200</v>
      </c>
      <c r="B125" s="11" t="s">
        <v>50</v>
      </c>
      <c r="C125" s="0" t="s">
        <v>51</v>
      </c>
      <c r="D125" s="0" t="s">
        <v>52</v>
      </c>
      <c r="E125" s="0" t="s">
        <v>196</v>
      </c>
      <c r="F125" s="0" t="s">
        <v>54</v>
      </c>
      <c r="G125" s="0" t="s">
        <v>63</v>
      </c>
      <c r="H125" s="0" t="n">
        <v>42</v>
      </c>
      <c r="I125" s="11" t="s">
        <v>56</v>
      </c>
      <c r="M125" s="0" t="s">
        <v>197</v>
      </c>
      <c r="N125" s="0" t="s">
        <v>58</v>
      </c>
      <c r="O125" s="0" t="s">
        <v>143</v>
      </c>
      <c r="P125" s="0" t="s">
        <v>92</v>
      </c>
      <c r="Q125" s="12" t="n">
        <f aca="false">VLOOKUP(E125,Conditions!$A$2:$I$13,6,FALSE())</f>
        <v>1.1</v>
      </c>
      <c r="R125" s="13" t="n">
        <f aca="false">VLOOKUP(G125,Benchmarks!$A$2:$I$9,5,FALSE())</f>
        <v>1273</v>
      </c>
      <c r="S125" s="13" t="n">
        <f aca="false">VLOOKUP(G125,Benchmarks!$A$2:$I$9,6,FALSE())</f>
        <v>5000</v>
      </c>
      <c r="T125" s="13" t="n">
        <f aca="false">R125*S125*Q125</f>
        <v>7001500</v>
      </c>
      <c r="U125" s="14" t="n">
        <f aca="false">VLOOKUP(F125,Backbones!$A$2:$G$5,6,FALSE())</f>
        <v>0.6</v>
      </c>
      <c r="V125" s="15" t="n">
        <f aca="false">T125/1000000*U125</f>
        <v>4.2009</v>
      </c>
      <c r="W125" s="11" t="s">
        <v>59</v>
      </c>
    </row>
    <row r="126" customFormat="false" ht="15" hidden="false" customHeight="false" outlineLevel="0" collapsed="false">
      <c r="A126" s="6" t="s">
        <v>201</v>
      </c>
      <c r="B126" s="6" t="s">
        <v>50</v>
      </c>
      <c r="C126" s="6" t="s">
        <v>51</v>
      </c>
      <c r="D126" s="6" t="s">
        <v>52</v>
      </c>
      <c r="E126" s="6" t="s">
        <v>196</v>
      </c>
      <c r="F126" s="6" t="s">
        <v>54</v>
      </c>
      <c r="G126" s="6" t="s">
        <v>63</v>
      </c>
      <c r="H126" s="6" t="n">
        <v>123</v>
      </c>
      <c r="I126" s="6" t="s">
        <v>56</v>
      </c>
      <c r="J126" s="6"/>
      <c r="K126" s="6"/>
      <c r="L126" s="6"/>
      <c r="M126" s="6" t="s">
        <v>197</v>
      </c>
      <c r="N126" s="6" t="s">
        <v>58</v>
      </c>
      <c r="O126" s="6" t="s">
        <v>143</v>
      </c>
      <c r="P126" s="6" t="s">
        <v>92</v>
      </c>
      <c r="Q126" s="7" t="n">
        <f aca="false">VLOOKUP(E126,Conditions!$A$2:$I$13,6,FALSE())</f>
        <v>1.1</v>
      </c>
      <c r="R126" s="8" t="n">
        <f aca="false">VLOOKUP(G126,Benchmarks!$A$2:$I$9,5,FALSE())</f>
        <v>1273</v>
      </c>
      <c r="S126" s="8" t="n">
        <f aca="false">VLOOKUP(G126,Benchmarks!$A$2:$I$9,6,FALSE())</f>
        <v>5000</v>
      </c>
      <c r="T126" s="8" t="n">
        <f aca="false">R126*S126*Q126</f>
        <v>7001500</v>
      </c>
      <c r="U126" s="9" t="n">
        <f aca="false">VLOOKUP(F126,Backbones!$A$2:$G$5,6,FALSE())</f>
        <v>0.6</v>
      </c>
      <c r="V126" s="10" t="n">
        <f aca="false">T126/1000000*U126</f>
        <v>4.2009</v>
      </c>
      <c r="W126" s="6" t="s">
        <v>59</v>
      </c>
      <c r="X126" s="6"/>
      <c r="Y126" s="6"/>
    </row>
    <row r="127" customFormat="false" ht="15" hidden="false" customHeight="false" outlineLevel="0" collapsed="false">
      <c r="A127" s="0" t="s">
        <v>202</v>
      </c>
      <c r="B127" s="11" t="s">
        <v>50</v>
      </c>
      <c r="C127" s="0" t="s">
        <v>51</v>
      </c>
      <c r="D127" s="0" t="s">
        <v>52</v>
      </c>
      <c r="E127" s="0" t="s">
        <v>196</v>
      </c>
      <c r="F127" s="0" t="s">
        <v>54</v>
      </c>
      <c r="G127" s="0" t="s">
        <v>63</v>
      </c>
      <c r="H127" s="0" t="n">
        <v>7</v>
      </c>
      <c r="I127" s="11" t="s">
        <v>56</v>
      </c>
      <c r="M127" s="0" t="s">
        <v>197</v>
      </c>
      <c r="N127" s="0" t="s">
        <v>58</v>
      </c>
      <c r="O127" s="0" t="s">
        <v>143</v>
      </c>
      <c r="P127" s="0" t="s">
        <v>92</v>
      </c>
      <c r="Q127" s="12" t="n">
        <f aca="false">VLOOKUP(E127,Conditions!$A$2:$I$13,6,FALSE())</f>
        <v>1.1</v>
      </c>
      <c r="R127" s="13" t="n">
        <f aca="false">VLOOKUP(G127,Benchmarks!$A$2:$I$9,5,FALSE())</f>
        <v>1273</v>
      </c>
      <c r="S127" s="13" t="n">
        <f aca="false">VLOOKUP(G127,Benchmarks!$A$2:$I$9,6,FALSE())</f>
        <v>5000</v>
      </c>
      <c r="T127" s="13" t="n">
        <f aca="false">R127*S127*Q127</f>
        <v>7001500</v>
      </c>
      <c r="U127" s="14" t="n">
        <f aca="false">VLOOKUP(F127,Backbones!$A$2:$G$5,6,FALSE())</f>
        <v>0.6</v>
      </c>
      <c r="V127" s="15" t="n">
        <f aca="false">T127/1000000*U127</f>
        <v>4.2009</v>
      </c>
      <c r="W127" s="11" t="s">
        <v>59</v>
      </c>
    </row>
    <row r="128" customFormat="false" ht="15" hidden="false" customHeight="false" outlineLevel="0" collapsed="false">
      <c r="A128" s="6" t="s">
        <v>203</v>
      </c>
      <c r="B128" s="6" t="s">
        <v>50</v>
      </c>
      <c r="C128" s="6" t="s">
        <v>51</v>
      </c>
      <c r="D128" s="6" t="s">
        <v>52</v>
      </c>
      <c r="E128" s="6" t="s">
        <v>196</v>
      </c>
      <c r="F128" s="6" t="s">
        <v>54</v>
      </c>
      <c r="G128" s="6" t="s">
        <v>67</v>
      </c>
      <c r="H128" s="6" t="n">
        <v>42</v>
      </c>
      <c r="I128" s="6" t="s">
        <v>56</v>
      </c>
      <c r="J128" s="6"/>
      <c r="K128" s="6"/>
      <c r="L128" s="6"/>
      <c r="M128" s="6" t="s">
        <v>197</v>
      </c>
      <c r="N128" s="6" t="s">
        <v>58</v>
      </c>
      <c r="O128" s="6" t="s">
        <v>143</v>
      </c>
      <c r="P128" s="6" t="s">
        <v>92</v>
      </c>
      <c r="Q128" s="7" t="n">
        <f aca="false">VLOOKUP(E128,Conditions!$A$2:$I$13,6,FALSE())</f>
        <v>1.1</v>
      </c>
      <c r="R128" s="8" t="n">
        <f aca="false">VLOOKUP(G128,Benchmarks!$A$2:$I$9,5,FALSE())</f>
        <v>4183</v>
      </c>
      <c r="S128" s="8" t="n">
        <f aca="false">VLOOKUP(G128,Benchmarks!$A$2:$I$9,6,FALSE())</f>
        <v>4500</v>
      </c>
      <c r="T128" s="8" t="n">
        <f aca="false">R128*S128*Q128</f>
        <v>20705850</v>
      </c>
      <c r="U128" s="9" t="n">
        <f aca="false">VLOOKUP(F128,Backbones!$A$2:$G$5,6,FALSE())</f>
        <v>0.6</v>
      </c>
      <c r="V128" s="10" t="n">
        <f aca="false">T128/1000000*U128</f>
        <v>12.42351</v>
      </c>
      <c r="W128" s="6" t="s">
        <v>59</v>
      </c>
      <c r="X128" s="6"/>
      <c r="Y128" s="6"/>
    </row>
    <row r="129" customFormat="false" ht="15" hidden="false" customHeight="false" outlineLevel="0" collapsed="false">
      <c r="A129" s="0" t="s">
        <v>204</v>
      </c>
      <c r="B129" s="11" t="s">
        <v>50</v>
      </c>
      <c r="C129" s="0" t="s">
        <v>51</v>
      </c>
      <c r="D129" s="0" t="s">
        <v>52</v>
      </c>
      <c r="E129" s="0" t="s">
        <v>196</v>
      </c>
      <c r="F129" s="0" t="s">
        <v>54</v>
      </c>
      <c r="G129" s="0" t="s">
        <v>67</v>
      </c>
      <c r="H129" s="0" t="n">
        <v>123</v>
      </c>
      <c r="I129" s="11" t="s">
        <v>56</v>
      </c>
      <c r="M129" s="0" t="s">
        <v>197</v>
      </c>
      <c r="N129" s="0" t="s">
        <v>58</v>
      </c>
      <c r="O129" s="0" t="s">
        <v>143</v>
      </c>
      <c r="P129" s="0" t="s">
        <v>92</v>
      </c>
      <c r="Q129" s="12" t="n">
        <f aca="false">VLOOKUP(E129,Conditions!$A$2:$I$13,6,FALSE())</f>
        <v>1.1</v>
      </c>
      <c r="R129" s="13" t="n">
        <f aca="false">VLOOKUP(G129,Benchmarks!$A$2:$I$9,5,FALSE())</f>
        <v>4183</v>
      </c>
      <c r="S129" s="13" t="n">
        <f aca="false">VLOOKUP(G129,Benchmarks!$A$2:$I$9,6,FALSE())</f>
        <v>4500</v>
      </c>
      <c r="T129" s="13" t="n">
        <f aca="false">R129*S129*Q129</f>
        <v>20705850</v>
      </c>
      <c r="U129" s="14" t="n">
        <f aca="false">VLOOKUP(F129,Backbones!$A$2:$G$5,6,FALSE())</f>
        <v>0.6</v>
      </c>
      <c r="V129" s="15" t="n">
        <f aca="false">T129/1000000*U129</f>
        <v>12.42351</v>
      </c>
      <c r="W129" s="11" t="s">
        <v>59</v>
      </c>
    </row>
    <row r="130" customFormat="false" ht="15" hidden="false" customHeight="false" outlineLevel="0" collapsed="false">
      <c r="A130" s="6" t="s">
        <v>205</v>
      </c>
      <c r="B130" s="6" t="s">
        <v>50</v>
      </c>
      <c r="C130" s="6" t="s">
        <v>51</v>
      </c>
      <c r="D130" s="6" t="s">
        <v>52</v>
      </c>
      <c r="E130" s="6" t="s">
        <v>196</v>
      </c>
      <c r="F130" s="6" t="s">
        <v>54</v>
      </c>
      <c r="G130" s="6" t="s">
        <v>67</v>
      </c>
      <c r="H130" s="6" t="n">
        <v>7</v>
      </c>
      <c r="I130" s="6" t="s">
        <v>56</v>
      </c>
      <c r="J130" s="6"/>
      <c r="K130" s="6"/>
      <c r="L130" s="6"/>
      <c r="M130" s="6" t="s">
        <v>197</v>
      </c>
      <c r="N130" s="6" t="s">
        <v>58</v>
      </c>
      <c r="O130" s="6" t="s">
        <v>143</v>
      </c>
      <c r="P130" s="6" t="s">
        <v>92</v>
      </c>
      <c r="Q130" s="7" t="n">
        <f aca="false">VLOOKUP(E130,Conditions!$A$2:$I$13,6,FALSE())</f>
        <v>1.1</v>
      </c>
      <c r="R130" s="8" t="n">
        <f aca="false">VLOOKUP(G130,Benchmarks!$A$2:$I$9,5,FALSE())</f>
        <v>4183</v>
      </c>
      <c r="S130" s="8" t="n">
        <f aca="false">VLOOKUP(G130,Benchmarks!$A$2:$I$9,6,FALSE())</f>
        <v>4500</v>
      </c>
      <c r="T130" s="8" t="n">
        <f aca="false">R130*S130*Q130</f>
        <v>20705850</v>
      </c>
      <c r="U130" s="9" t="n">
        <f aca="false">VLOOKUP(F130,Backbones!$A$2:$G$5,6,FALSE())</f>
        <v>0.6</v>
      </c>
      <c r="V130" s="10" t="n">
        <f aca="false">T130/1000000*U130</f>
        <v>12.42351</v>
      </c>
      <c r="W130" s="6" t="s">
        <v>59</v>
      </c>
      <c r="X130" s="6"/>
      <c r="Y130" s="6"/>
    </row>
    <row r="131" customFormat="false" ht="15" hidden="false" customHeight="false" outlineLevel="0" collapsed="false">
      <c r="A131" s="0" t="s">
        <v>206</v>
      </c>
      <c r="B131" s="11" t="s">
        <v>50</v>
      </c>
      <c r="C131" s="0" t="s">
        <v>51</v>
      </c>
      <c r="D131" s="0" t="s">
        <v>52</v>
      </c>
      <c r="E131" s="0" t="s">
        <v>196</v>
      </c>
      <c r="F131" s="0" t="s">
        <v>54</v>
      </c>
      <c r="G131" s="0" t="s">
        <v>71</v>
      </c>
      <c r="H131" s="0" t="n">
        <v>42</v>
      </c>
      <c r="I131" s="11" t="s">
        <v>56</v>
      </c>
      <c r="M131" s="0" t="s">
        <v>197</v>
      </c>
      <c r="N131" s="0" t="s">
        <v>58</v>
      </c>
      <c r="O131" s="0" t="s">
        <v>143</v>
      </c>
      <c r="P131" s="0" t="s">
        <v>92</v>
      </c>
      <c r="Q131" s="12" t="n">
        <f aca="false">VLOOKUP(E131,Conditions!$A$2:$I$13,6,FALSE())</f>
        <v>1.1</v>
      </c>
      <c r="R131" s="13" t="n">
        <f aca="false">VLOOKUP(G131,Benchmarks!$A$2:$I$9,5,FALSE())</f>
        <v>500</v>
      </c>
      <c r="S131" s="13" t="n">
        <f aca="false">VLOOKUP(G131,Benchmarks!$A$2:$I$9,6,FALSE())</f>
        <v>5500</v>
      </c>
      <c r="T131" s="13" t="n">
        <f aca="false">R131*S131*Q131</f>
        <v>3025000</v>
      </c>
      <c r="U131" s="14" t="n">
        <f aca="false">VLOOKUP(F131,Backbones!$A$2:$G$5,6,FALSE())</f>
        <v>0.6</v>
      </c>
      <c r="V131" s="15" t="n">
        <f aca="false">T131/1000000*U131</f>
        <v>1.815</v>
      </c>
      <c r="W131" s="11" t="s">
        <v>59</v>
      </c>
    </row>
    <row r="132" customFormat="false" ht="15" hidden="false" customHeight="false" outlineLevel="0" collapsed="false">
      <c r="A132" s="6" t="s">
        <v>207</v>
      </c>
      <c r="B132" s="6" t="s">
        <v>50</v>
      </c>
      <c r="C132" s="6" t="s">
        <v>51</v>
      </c>
      <c r="D132" s="6" t="s">
        <v>52</v>
      </c>
      <c r="E132" s="6" t="s">
        <v>196</v>
      </c>
      <c r="F132" s="6" t="s">
        <v>54</v>
      </c>
      <c r="G132" s="6" t="s">
        <v>71</v>
      </c>
      <c r="H132" s="6" t="n">
        <v>123</v>
      </c>
      <c r="I132" s="6" t="s">
        <v>56</v>
      </c>
      <c r="J132" s="6"/>
      <c r="K132" s="6"/>
      <c r="L132" s="6"/>
      <c r="M132" s="6" t="s">
        <v>197</v>
      </c>
      <c r="N132" s="6" t="s">
        <v>58</v>
      </c>
      <c r="O132" s="6" t="s">
        <v>143</v>
      </c>
      <c r="P132" s="6" t="s">
        <v>92</v>
      </c>
      <c r="Q132" s="7" t="n">
        <f aca="false">VLOOKUP(E132,Conditions!$A$2:$I$13,6,FALSE())</f>
        <v>1.1</v>
      </c>
      <c r="R132" s="8" t="n">
        <f aca="false">VLOOKUP(G132,Benchmarks!$A$2:$I$9,5,FALSE())</f>
        <v>500</v>
      </c>
      <c r="S132" s="8" t="n">
        <f aca="false">VLOOKUP(G132,Benchmarks!$A$2:$I$9,6,FALSE())</f>
        <v>5500</v>
      </c>
      <c r="T132" s="8" t="n">
        <f aca="false">R132*S132*Q132</f>
        <v>3025000</v>
      </c>
      <c r="U132" s="9" t="n">
        <f aca="false">VLOOKUP(F132,Backbones!$A$2:$G$5,6,FALSE())</f>
        <v>0.6</v>
      </c>
      <c r="V132" s="10" t="n">
        <f aca="false">T132/1000000*U132</f>
        <v>1.815</v>
      </c>
      <c r="W132" s="6" t="s">
        <v>59</v>
      </c>
      <c r="X132" s="6"/>
      <c r="Y132" s="6"/>
    </row>
    <row r="133" customFormat="false" ht="15" hidden="false" customHeight="false" outlineLevel="0" collapsed="false">
      <c r="A133" s="0" t="s">
        <v>208</v>
      </c>
      <c r="B133" s="11" t="s">
        <v>50</v>
      </c>
      <c r="C133" s="0" t="s">
        <v>51</v>
      </c>
      <c r="D133" s="0" t="s">
        <v>52</v>
      </c>
      <c r="E133" s="0" t="s">
        <v>196</v>
      </c>
      <c r="F133" s="0" t="s">
        <v>54</v>
      </c>
      <c r="G133" s="0" t="s">
        <v>71</v>
      </c>
      <c r="H133" s="0" t="n">
        <v>7</v>
      </c>
      <c r="I133" s="11" t="s">
        <v>56</v>
      </c>
      <c r="M133" s="0" t="s">
        <v>197</v>
      </c>
      <c r="N133" s="0" t="s">
        <v>58</v>
      </c>
      <c r="O133" s="0" t="s">
        <v>143</v>
      </c>
      <c r="P133" s="0" t="s">
        <v>92</v>
      </c>
      <c r="Q133" s="12" t="n">
        <f aca="false">VLOOKUP(E133,Conditions!$A$2:$I$13,6,FALSE())</f>
        <v>1.1</v>
      </c>
      <c r="R133" s="13" t="n">
        <f aca="false">VLOOKUP(G133,Benchmarks!$A$2:$I$9,5,FALSE())</f>
        <v>500</v>
      </c>
      <c r="S133" s="13" t="n">
        <f aca="false">VLOOKUP(G133,Benchmarks!$A$2:$I$9,6,FALSE())</f>
        <v>5500</v>
      </c>
      <c r="T133" s="13" t="n">
        <f aca="false">R133*S133*Q133</f>
        <v>3025000</v>
      </c>
      <c r="U133" s="14" t="n">
        <f aca="false">VLOOKUP(F133,Backbones!$A$2:$G$5,6,FALSE())</f>
        <v>0.6</v>
      </c>
      <c r="V133" s="15" t="n">
        <f aca="false">T133/1000000*U133</f>
        <v>1.815</v>
      </c>
      <c r="W133" s="11" t="s">
        <v>59</v>
      </c>
    </row>
    <row r="134" customFormat="false" ht="15" hidden="false" customHeight="false" outlineLevel="0" collapsed="false">
      <c r="A134" s="6" t="s">
        <v>209</v>
      </c>
      <c r="B134" s="6" t="s">
        <v>50</v>
      </c>
      <c r="C134" s="6" t="s">
        <v>51</v>
      </c>
      <c r="D134" s="6" t="s">
        <v>52</v>
      </c>
      <c r="E134" s="6" t="s">
        <v>196</v>
      </c>
      <c r="F134" s="6" t="s">
        <v>54</v>
      </c>
      <c r="G134" s="6" t="s">
        <v>75</v>
      </c>
      <c r="H134" s="6" t="n">
        <v>42</v>
      </c>
      <c r="I134" s="6" t="s">
        <v>56</v>
      </c>
      <c r="J134" s="6"/>
      <c r="K134" s="6"/>
      <c r="L134" s="6"/>
      <c r="M134" s="6" t="s">
        <v>197</v>
      </c>
      <c r="N134" s="6" t="s">
        <v>58</v>
      </c>
      <c r="O134" s="6" t="s">
        <v>143</v>
      </c>
      <c r="P134" s="6" t="s">
        <v>92</v>
      </c>
      <c r="Q134" s="7" t="n">
        <f aca="false">VLOOKUP(E134,Conditions!$A$2:$I$13,6,FALSE())</f>
        <v>1.1</v>
      </c>
      <c r="R134" s="8" t="n">
        <f aca="false">VLOOKUP(G134,Benchmarks!$A$2:$I$9,5,FALSE())</f>
        <v>618</v>
      </c>
      <c r="S134" s="8" t="n">
        <f aca="false">VLOOKUP(G134,Benchmarks!$A$2:$I$9,6,FALSE())</f>
        <v>5000</v>
      </c>
      <c r="T134" s="8" t="n">
        <f aca="false">R134*S134*Q134</f>
        <v>3399000</v>
      </c>
      <c r="U134" s="9" t="n">
        <f aca="false">VLOOKUP(F134,Backbones!$A$2:$G$5,6,FALSE())</f>
        <v>0.6</v>
      </c>
      <c r="V134" s="10" t="n">
        <f aca="false">T134/1000000*U134</f>
        <v>2.0394</v>
      </c>
      <c r="W134" s="6" t="s">
        <v>59</v>
      </c>
      <c r="X134" s="6"/>
      <c r="Y134" s="6"/>
    </row>
    <row r="135" customFormat="false" ht="15" hidden="false" customHeight="false" outlineLevel="0" collapsed="false">
      <c r="A135" s="0" t="s">
        <v>210</v>
      </c>
      <c r="B135" s="11" t="s">
        <v>50</v>
      </c>
      <c r="C135" s="0" t="s">
        <v>51</v>
      </c>
      <c r="D135" s="0" t="s">
        <v>52</v>
      </c>
      <c r="E135" s="0" t="s">
        <v>196</v>
      </c>
      <c r="F135" s="0" t="s">
        <v>54</v>
      </c>
      <c r="G135" s="0" t="s">
        <v>75</v>
      </c>
      <c r="H135" s="0" t="n">
        <v>123</v>
      </c>
      <c r="I135" s="11" t="s">
        <v>56</v>
      </c>
      <c r="M135" s="0" t="s">
        <v>197</v>
      </c>
      <c r="N135" s="0" t="s">
        <v>58</v>
      </c>
      <c r="O135" s="0" t="s">
        <v>143</v>
      </c>
      <c r="P135" s="0" t="s">
        <v>92</v>
      </c>
      <c r="Q135" s="12" t="n">
        <f aca="false">VLOOKUP(E135,Conditions!$A$2:$I$13,6,FALSE())</f>
        <v>1.1</v>
      </c>
      <c r="R135" s="13" t="n">
        <f aca="false">VLOOKUP(G135,Benchmarks!$A$2:$I$9,5,FALSE())</f>
        <v>618</v>
      </c>
      <c r="S135" s="13" t="n">
        <f aca="false">VLOOKUP(G135,Benchmarks!$A$2:$I$9,6,FALSE())</f>
        <v>5000</v>
      </c>
      <c r="T135" s="13" t="n">
        <f aca="false">R135*S135*Q135</f>
        <v>3399000</v>
      </c>
      <c r="U135" s="14" t="n">
        <f aca="false">VLOOKUP(F135,Backbones!$A$2:$G$5,6,FALSE())</f>
        <v>0.6</v>
      </c>
      <c r="V135" s="15" t="n">
        <f aca="false">T135/1000000*U135</f>
        <v>2.0394</v>
      </c>
      <c r="W135" s="11" t="s">
        <v>59</v>
      </c>
    </row>
    <row r="136" customFormat="false" ht="15" hidden="false" customHeight="false" outlineLevel="0" collapsed="false">
      <c r="A136" s="6" t="s">
        <v>211</v>
      </c>
      <c r="B136" s="6" t="s">
        <v>50</v>
      </c>
      <c r="C136" s="6" t="s">
        <v>51</v>
      </c>
      <c r="D136" s="6" t="s">
        <v>52</v>
      </c>
      <c r="E136" s="6" t="s">
        <v>196</v>
      </c>
      <c r="F136" s="6" t="s">
        <v>54</v>
      </c>
      <c r="G136" s="6" t="s">
        <v>75</v>
      </c>
      <c r="H136" s="6" t="n">
        <v>7</v>
      </c>
      <c r="I136" s="6" t="s">
        <v>56</v>
      </c>
      <c r="J136" s="6"/>
      <c r="K136" s="6"/>
      <c r="L136" s="6"/>
      <c r="M136" s="6" t="s">
        <v>197</v>
      </c>
      <c r="N136" s="6" t="s">
        <v>58</v>
      </c>
      <c r="O136" s="6" t="s">
        <v>143</v>
      </c>
      <c r="P136" s="6" t="s">
        <v>92</v>
      </c>
      <c r="Q136" s="7" t="n">
        <f aca="false">VLOOKUP(E136,Conditions!$A$2:$I$13,6,FALSE())</f>
        <v>1.1</v>
      </c>
      <c r="R136" s="8" t="n">
        <f aca="false">VLOOKUP(G136,Benchmarks!$A$2:$I$9,5,FALSE())</f>
        <v>618</v>
      </c>
      <c r="S136" s="8" t="n">
        <f aca="false">VLOOKUP(G136,Benchmarks!$A$2:$I$9,6,FALSE())</f>
        <v>5000</v>
      </c>
      <c r="T136" s="8" t="n">
        <f aca="false">R136*S136*Q136</f>
        <v>3399000</v>
      </c>
      <c r="U136" s="9" t="n">
        <f aca="false">VLOOKUP(F136,Backbones!$A$2:$G$5,6,FALSE())</f>
        <v>0.6</v>
      </c>
      <c r="V136" s="10" t="n">
        <f aca="false">T136/1000000*U136</f>
        <v>2.0394</v>
      </c>
      <c r="W136" s="6" t="s">
        <v>59</v>
      </c>
      <c r="X136" s="6"/>
      <c r="Y136" s="6"/>
    </row>
    <row r="137" customFormat="false" ht="15" hidden="false" customHeight="false" outlineLevel="0" collapsed="false">
      <c r="A137" s="0" t="s">
        <v>212</v>
      </c>
      <c r="B137" s="11" t="s">
        <v>50</v>
      </c>
      <c r="C137" s="0" t="s">
        <v>51</v>
      </c>
      <c r="D137" s="0" t="s">
        <v>52</v>
      </c>
      <c r="E137" s="0" t="s">
        <v>196</v>
      </c>
      <c r="F137" s="0" t="s">
        <v>54</v>
      </c>
      <c r="G137" s="0" t="s">
        <v>79</v>
      </c>
      <c r="H137" s="0" t="n">
        <v>42</v>
      </c>
      <c r="I137" s="11" t="s">
        <v>56</v>
      </c>
      <c r="M137" s="0" t="s">
        <v>197</v>
      </c>
      <c r="N137" s="0" t="s">
        <v>58</v>
      </c>
      <c r="O137" s="0" t="s">
        <v>143</v>
      </c>
      <c r="P137" s="0" t="s">
        <v>92</v>
      </c>
      <c r="Q137" s="12" t="n">
        <f aca="false">VLOOKUP(E137,Conditions!$A$2:$I$13,6,FALSE())</f>
        <v>1.1</v>
      </c>
      <c r="R137" s="13" t="n">
        <f aca="false">VLOOKUP(G137,Benchmarks!$A$2:$I$9,5,FALSE())</f>
        <v>50</v>
      </c>
      <c r="S137" s="13" t="n">
        <f aca="false">VLOOKUP(G137,Benchmarks!$A$2:$I$9,6,FALSE())</f>
        <v>8000</v>
      </c>
      <c r="T137" s="13" t="n">
        <f aca="false">R137*S137*Q137</f>
        <v>440000</v>
      </c>
      <c r="U137" s="14" t="n">
        <f aca="false">VLOOKUP(F137,Backbones!$A$2:$G$5,6,FALSE())</f>
        <v>0.6</v>
      </c>
      <c r="V137" s="15" t="n">
        <f aca="false">T137/1000000*U137</f>
        <v>0.264</v>
      </c>
      <c r="W137" s="11" t="s">
        <v>59</v>
      </c>
    </row>
    <row r="138" customFormat="false" ht="15" hidden="false" customHeight="false" outlineLevel="0" collapsed="false">
      <c r="A138" s="6" t="s">
        <v>213</v>
      </c>
      <c r="B138" s="6" t="s">
        <v>50</v>
      </c>
      <c r="C138" s="6" t="s">
        <v>51</v>
      </c>
      <c r="D138" s="6" t="s">
        <v>52</v>
      </c>
      <c r="E138" s="6" t="s">
        <v>196</v>
      </c>
      <c r="F138" s="6" t="s">
        <v>54</v>
      </c>
      <c r="G138" s="6" t="s">
        <v>79</v>
      </c>
      <c r="H138" s="6" t="n">
        <v>123</v>
      </c>
      <c r="I138" s="6" t="s">
        <v>56</v>
      </c>
      <c r="J138" s="6"/>
      <c r="K138" s="6"/>
      <c r="L138" s="6"/>
      <c r="M138" s="6" t="s">
        <v>197</v>
      </c>
      <c r="N138" s="6" t="s">
        <v>58</v>
      </c>
      <c r="O138" s="6" t="s">
        <v>143</v>
      </c>
      <c r="P138" s="6" t="s">
        <v>92</v>
      </c>
      <c r="Q138" s="7" t="n">
        <f aca="false">VLOOKUP(E138,Conditions!$A$2:$I$13,6,FALSE())</f>
        <v>1.1</v>
      </c>
      <c r="R138" s="8" t="n">
        <f aca="false">VLOOKUP(G138,Benchmarks!$A$2:$I$9,5,FALSE())</f>
        <v>50</v>
      </c>
      <c r="S138" s="8" t="n">
        <f aca="false">VLOOKUP(G138,Benchmarks!$A$2:$I$9,6,FALSE())</f>
        <v>8000</v>
      </c>
      <c r="T138" s="8" t="n">
        <f aca="false">R138*S138*Q138</f>
        <v>440000</v>
      </c>
      <c r="U138" s="9" t="n">
        <f aca="false">VLOOKUP(F138,Backbones!$A$2:$G$5,6,FALSE())</f>
        <v>0.6</v>
      </c>
      <c r="V138" s="10" t="n">
        <f aca="false">T138/1000000*U138</f>
        <v>0.264</v>
      </c>
      <c r="W138" s="6" t="s">
        <v>59</v>
      </c>
      <c r="X138" s="6"/>
      <c r="Y138" s="6"/>
    </row>
    <row r="139" customFormat="false" ht="15" hidden="false" customHeight="false" outlineLevel="0" collapsed="false">
      <c r="A139" s="0" t="s">
        <v>214</v>
      </c>
      <c r="B139" s="11" t="s">
        <v>50</v>
      </c>
      <c r="C139" s="0" t="s">
        <v>51</v>
      </c>
      <c r="D139" s="0" t="s">
        <v>52</v>
      </c>
      <c r="E139" s="0" t="s">
        <v>196</v>
      </c>
      <c r="F139" s="0" t="s">
        <v>54</v>
      </c>
      <c r="G139" s="0" t="s">
        <v>79</v>
      </c>
      <c r="H139" s="0" t="n">
        <v>7</v>
      </c>
      <c r="I139" s="11" t="s">
        <v>56</v>
      </c>
      <c r="M139" s="0" t="s">
        <v>197</v>
      </c>
      <c r="N139" s="0" t="s">
        <v>58</v>
      </c>
      <c r="O139" s="0" t="s">
        <v>143</v>
      </c>
      <c r="P139" s="0" t="s">
        <v>92</v>
      </c>
      <c r="Q139" s="12" t="n">
        <f aca="false">VLOOKUP(E139,Conditions!$A$2:$I$13,6,FALSE())</f>
        <v>1.1</v>
      </c>
      <c r="R139" s="13" t="n">
        <f aca="false">VLOOKUP(G139,Benchmarks!$A$2:$I$9,5,FALSE())</f>
        <v>50</v>
      </c>
      <c r="S139" s="13" t="n">
        <f aca="false">VLOOKUP(G139,Benchmarks!$A$2:$I$9,6,FALSE())</f>
        <v>8000</v>
      </c>
      <c r="T139" s="13" t="n">
        <f aca="false">R139*S139*Q139</f>
        <v>440000</v>
      </c>
      <c r="U139" s="14" t="n">
        <f aca="false">VLOOKUP(F139,Backbones!$A$2:$G$5,6,FALSE())</f>
        <v>0.6</v>
      </c>
      <c r="V139" s="15" t="n">
        <f aca="false">T139/1000000*U139</f>
        <v>0.264</v>
      </c>
      <c r="W139" s="11" t="s">
        <v>59</v>
      </c>
    </row>
    <row r="140" customFormat="false" ht="15" hidden="false" customHeight="false" outlineLevel="0" collapsed="false">
      <c r="A140" s="6" t="s">
        <v>215</v>
      </c>
      <c r="B140" s="6" t="s">
        <v>50</v>
      </c>
      <c r="C140" s="6" t="s">
        <v>51</v>
      </c>
      <c r="D140" s="6" t="s">
        <v>52</v>
      </c>
      <c r="E140" s="6" t="s">
        <v>196</v>
      </c>
      <c r="F140" s="6" t="s">
        <v>54</v>
      </c>
      <c r="G140" s="6" t="s">
        <v>83</v>
      </c>
      <c r="H140" s="6" t="n">
        <v>42</v>
      </c>
      <c r="I140" s="6" t="s">
        <v>56</v>
      </c>
      <c r="J140" s="6"/>
      <c r="K140" s="6"/>
      <c r="L140" s="6"/>
      <c r="M140" s="6" t="s">
        <v>197</v>
      </c>
      <c r="N140" s="6" t="s">
        <v>58</v>
      </c>
      <c r="O140" s="6" t="s">
        <v>143</v>
      </c>
      <c r="P140" s="6" t="s">
        <v>92</v>
      </c>
      <c r="Q140" s="7" t="n">
        <f aca="false">VLOOKUP(E140,Conditions!$A$2:$I$13,6,FALSE())</f>
        <v>1.1</v>
      </c>
      <c r="R140" s="8" t="n">
        <f aca="false">VLOOKUP(G140,Benchmarks!$A$2:$I$9,5,FALSE())</f>
        <v>200</v>
      </c>
      <c r="S140" s="8" t="n">
        <f aca="false">VLOOKUP(G140,Benchmarks!$A$2:$I$9,6,FALSE())</f>
        <v>8000</v>
      </c>
      <c r="T140" s="8" t="n">
        <f aca="false">R140*S140*Q140</f>
        <v>1760000</v>
      </c>
      <c r="U140" s="9" t="n">
        <f aca="false">VLOOKUP(F140,Backbones!$A$2:$G$5,6,FALSE())</f>
        <v>0.6</v>
      </c>
      <c r="V140" s="10" t="n">
        <f aca="false">T140/1000000*U140</f>
        <v>1.056</v>
      </c>
      <c r="W140" s="6" t="s">
        <v>59</v>
      </c>
      <c r="X140" s="6"/>
      <c r="Y140" s="6"/>
    </row>
    <row r="141" customFormat="false" ht="15" hidden="false" customHeight="false" outlineLevel="0" collapsed="false">
      <c r="A141" s="0" t="s">
        <v>216</v>
      </c>
      <c r="B141" s="11" t="s">
        <v>50</v>
      </c>
      <c r="C141" s="0" t="s">
        <v>51</v>
      </c>
      <c r="D141" s="0" t="s">
        <v>52</v>
      </c>
      <c r="E141" s="0" t="s">
        <v>196</v>
      </c>
      <c r="F141" s="0" t="s">
        <v>54</v>
      </c>
      <c r="G141" s="0" t="s">
        <v>83</v>
      </c>
      <c r="H141" s="0" t="n">
        <v>123</v>
      </c>
      <c r="I141" s="11" t="s">
        <v>56</v>
      </c>
      <c r="M141" s="0" t="s">
        <v>197</v>
      </c>
      <c r="N141" s="0" t="s">
        <v>58</v>
      </c>
      <c r="O141" s="0" t="s">
        <v>143</v>
      </c>
      <c r="P141" s="0" t="s">
        <v>92</v>
      </c>
      <c r="Q141" s="12" t="n">
        <f aca="false">VLOOKUP(E141,Conditions!$A$2:$I$13,6,FALSE())</f>
        <v>1.1</v>
      </c>
      <c r="R141" s="13" t="n">
        <f aca="false">VLOOKUP(G141,Benchmarks!$A$2:$I$9,5,FALSE())</f>
        <v>200</v>
      </c>
      <c r="S141" s="13" t="n">
        <f aca="false">VLOOKUP(G141,Benchmarks!$A$2:$I$9,6,FALSE())</f>
        <v>8000</v>
      </c>
      <c r="T141" s="13" t="n">
        <f aca="false">R141*S141*Q141</f>
        <v>1760000</v>
      </c>
      <c r="U141" s="14" t="n">
        <f aca="false">VLOOKUP(F141,Backbones!$A$2:$G$5,6,FALSE())</f>
        <v>0.6</v>
      </c>
      <c r="V141" s="15" t="n">
        <f aca="false">T141/1000000*U141</f>
        <v>1.056</v>
      </c>
      <c r="W141" s="11" t="s">
        <v>59</v>
      </c>
    </row>
    <row r="142" customFormat="false" ht="15" hidden="false" customHeight="false" outlineLevel="0" collapsed="false">
      <c r="A142" s="6" t="s">
        <v>217</v>
      </c>
      <c r="B142" s="6" t="s">
        <v>50</v>
      </c>
      <c r="C142" s="6" t="s">
        <v>51</v>
      </c>
      <c r="D142" s="6" t="s">
        <v>52</v>
      </c>
      <c r="E142" s="6" t="s">
        <v>196</v>
      </c>
      <c r="F142" s="6" t="s">
        <v>54</v>
      </c>
      <c r="G142" s="6" t="s">
        <v>83</v>
      </c>
      <c r="H142" s="6" t="n">
        <v>7</v>
      </c>
      <c r="I142" s="6" t="s">
        <v>56</v>
      </c>
      <c r="J142" s="6"/>
      <c r="K142" s="6"/>
      <c r="L142" s="6"/>
      <c r="M142" s="6" t="s">
        <v>197</v>
      </c>
      <c r="N142" s="6" t="s">
        <v>58</v>
      </c>
      <c r="O142" s="6" t="s">
        <v>143</v>
      </c>
      <c r="P142" s="6" t="s">
        <v>92</v>
      </c>
      <c r="Q142" s="7" t="n">
        <f aca="false">VLOOKUP(E142,Conditions!$A$2:$I$13,6,FALSE())</f>
        <v>1.1</v>
      </c>
      <c r="R142" s="8" t="n">
        <f aca="false">VLOOKUP(G142,Benchmarks!$A$2:$I$9,5,FALSE())</f>
        <v>200</v>
      </c>
      <c r="S142" s="8" t="n">
        <f aca="false">VLOOKUP(G142,Benchmarks!$A$2:$I$9,6,FALSE())</f>
        <v>8000</v>
      </c>
      <c r="T142" s="8" t="n">
        <f aca="false">R142*S142*Q142</f>
        <v>1760000</v>
      </c>
      <c r="U142" s="9" t="n">
        <f aca="false">VLOOKUP(F142,Backbones!$A$2:$G$5,6,FALSE())</f>
        <v>0.6</v>
      </c>
      <c r="V142" s="10" t="n">
        <f aca="false">T142/1000000*U142</f>
        <v>1.056</v>
      </c>
      <c r="W142" s="6" t="s">
        <v>59</v>
      </c>
      <c r="X142" s="6"/>
      <c r="Y142" s="6"/>
    </row>
    <row r="143" customFormat="false" ht="15" hidden="false" customHeight="false" outlineLevel="0" collapsed="false">
      <c r="A143" s="0" t="s">
        <v>218</v>
      </c>
      <c r="B143" s="11" t="s">
        <v>50</v>
      </c>
      <c r="C143" s="0" t="s">
        <v>51</v>
      </c>
      <c r="D143" s="0" t="s">
        <v>52</v>
      </c>
      <c r="E143" s="0" t="s">
        <v>196</v>
      </c>
      <c r="F143" s="0" t="s">
        <v>54</v>
      </c>
      <c r="G143" s="0" t="s">
        <v>87</v>
      </c>
      <c r="H143" s="0" t="n">
        <v>42</v>
      </c>
      <c r="I143" s="11" t="s">
        <v>56</v>
      </c>
      <c r="M143" s="0" t="s">
        <v>197</v>
      </c>
      <c r="N143" s="0" t="s">
        <v>58</v>
      </c>
      <c r="O143" s="0" t="s">
        <v>143</v>
      </c>
      <c r="P143" s="0" t="s">
        <v>92</v>
      </c>
      <c r="Q143" s="12" t="n">
        <f aca="false">VLOOKUP(E143,Conditions!$A$2:$I$13,6,FALSE())</f>
        <v>1.1</v>
      </c>
      <c r="R143" s="13" t="n">
        <f aca="false">VLOOKUP(G143,Benchmarks!$A$2:$I$9,5,FALSE())</f>
        <v>150</v>
      </c>
      <c r="S143" s="13" t="n">
        <f aca="false">VLOOKUP(G143,Benchmarks!$A$2:$I$9,6,FALSE())</f>
        <v>6000</v>
      </c>
      <c r="T143" s="13" t="n">
        <f aca="false">R143*S143*Q143</f>
        <v>990000</v>
      </c>
      <c r="U143" s="14" t="n">
        <f aca="false">VLOOKUP(F143,Backbones!$A$2:$G$5,6,FALSE())</f>
        <v>0.6</v>
      </c>
      <c r="V143" s="15" t="n">
        <f aca="false">T143/1000000*U143</f>
        <v>0.594</v>
      </c>
      <c r="W143" s="11" t="s">
        <v>59</v>
      </c>
    </row>
    <row r="144" customFormat="false" ht="15" hidden="false" customHeight="false" outlineLevel="0" collapsed="false">
      <c r="A144" s="6" t="s">
        <v>219</v>
      </c>
      <c r="B144" s="6" t="s">
        <v>50</v>
      </c>
      <c r="C144" s="6" t="s">
        <v>51</v>
      </c>
      <c r="D144" s="6" t="s">
        <v>52</v>
      </c>
      <c r="E144" s="6" t="s">
        <v>196</v>
      </c>
      <c r="F144" s="6" t="s">
        <v>54</v>
      </c>
      <c r="G144" s="6" t="s">
        <v>87</v>
      </c>
      <c r="H144" s="6" t="n">
        <v>123</v>
      </c>
      <c r="I144" s="6" t="s">
        <v>56</v>
      </c>
      <c r="J144" s="6"/>
      <c r="K144" s="6"/>
      <c r="L144" s="6"/>
      <c r="M144" s="6" t="s">
        <v>197</v>
      </c>
      <c r="N144" s="6" t="s">
        <v>58</v>
      </c>
      <c r="O144" s="6" t="s">
        <v>143</v>
      </c>
      <c r="P144" s="6" t="s">
        <v>92</v>
      </c>
      <c r="Q144" s="7" t="n">
        <f aca="false">VLOOKUP(E144,Conditions!$A$2:$I$13,6,FALSE())</f>
        <v>1.1</v>
      </c>
      <c r="R144" s="8" t="n">
        <f aca="false">VLOOKUP(G144,Benchmarks!$A$2:$I$9,5,FALSE())</f>
        <v>150</v>
      </c>
      <c r="S144" s="8" t="n">
        <f aca="false">VLOOKUP(G144,Benchmarks!$A$2:$I$9,6,FALSE())</f>
        <v>6000</v>
      </c>
      <c r="T144" s="8" t="n">
        <f aca="false">R144*S144*Q144</f>
        <v>990000</v>
      </c>
      <c r="U144" s="9" t="n">
        <f aca="false">VLOOKUP(F144,Backbones!$A$2:$G$5,6,FALSE())</f>
        <v>0.6</v>
      </c>
      <c r="V144" s="10" t="n">
        <f aca="false">T144/1000000*U144</f>
        <v>0.594</v>
      </c>
      <c r="W144" s="6" t="s">
        <v>59</v>
      </c>
      <c r="X144" s="6"/>
      <c r="Y144" s="6"/>
    </row>
    <row r="145" customFormat="false" ht="15" hidden="false" customHeight="false" outlineLevel="0" collapsed="false">
      <c r="A145" s="0" t="s">
        <v>220</v>
      </c>
      <c r="B145" s="11" t="s">
        <v>50</v>
      </c>
      <c r="C145" s="0" t="s">
        <v>51</v>
      </c>
      <c r="D145" s="0" t="s">
        <v>52</v>
      </c>
      <c r="E145" s="0" t="s">
        <v>196</v>
      </c>
      <c r="F145" s="0" t="s">
        <v>54</v>
      </c>
      <c r="G145" s="0" t="s">
        <v>87</v>
      </c>
      <c r="H145" s="0" t="n">
        <v>7</v>
      </c>
      <c r="I145" s="11" t="s">
        <v>56</v>
      </c>
      <c r="M145" s="0" t="s">
        <v>197</v>
      </c>
      <c r="N145" s="0" t="s">
        <v>58</v>
      </c>
      <c r="O145" s="0" t="s">
        <v>143</v>
      </c>
      <c r="P145" s="0" t="s">
        <v>92</v>
      </c>
      <c r="Q145" s="12" t="n">
        <f aca="false">VLOOKUP(E145,Conditions!$A$2:$I$13,6,FALSE())</f>
        <v>1.1</v>
      </c>
      <c r="R145" s="13" t="n">
        <f aca="false">VLOOKUP(G145,Benchmarks!$A$2:$I$9,5,FALSE())</f>
        <v>150</v>
      </c>
      <c r="S145" s="13" t="n">
        <f aca="false">VLOOKUP(G145,Benchmarks!$A$2:$I$9,6,FALSE())</f>
        <v>6000</v>
      </c>
      <c r="T145" s="13" t="n">
        <f aca="false">R145*S145*Q145</f>
        <v>990000</v>
      </c>
      <c r="U145" s="14" t="n">
        <f aca="false">VLOOKUP(F145,Backbones!$A$2:$G$5,6,FALSE())</f>
        <v>0.6</v>
      </c>
      <c r="V145" s="15" t="n">
        <f aca="false">T145/1000000*U145</f>
        <v>0.594</v>
      </c>
      <c r="W145" s="11" t="s">
        <v>59</v>
      </c>
    </row>
    <row r="146" customFormat="false" ht="15" hidden="false" customHeight="false" outlineLevel="0" collapsed="false">
      <c r="A146" s="6" t="s">
        <v>221</v>
      </c>
      <c r="B146" s="6" t="s">
        <v>50</v>
      </c>
      <c r="C146" s="6" t="s">
        <v>222</v>
      </c>
      <c r="D146" s="6" t="s">
        <v>223</v>
      </c>
      <c r="E146" s="6" t="s">
        <v>224</v>
      </c>
      <c r="F146" s="6" t="s">
        <v>54</v>
      </c>
      <c r="G146" s="6" t="s">
        <v>55</v>
      </c>
      <c r="H146" s="6" t="n">
        <v>42</v>
      </c>
      <c r="I146" s="6" t="s">
        <v>56</v>
      </c>
      <c r="J146" s="6"/>
      <c r="K146" s="6"/>
      <c r="L146" s="6"/>
      <c r="M146" s="6" t="s">
        <v>225</v>
      </c>
      <c r="N146" s="6" t="s">
        <v>58</v>
      </c>
      <c r="O146" s="6" t="s">
        <v>143</v>
      </c>
      <c r="P146" s="6" t="s">
        <v>226</v>
      </c>
      <c r="Q146" s="7" t="n">
        <f aca="false">VLOOKUP(E146,Conditions!$A$2:$I$13,6,FALSE())</f>
        <v>1.1</v>
      </c>
      <c r="R146" s="8" t="n">
        <f aca="false">VLOOKUP(G146,Benchmarks!$A$2:$I$9,5,FALSE())</f>
        <v>1089</v>
      </c>
      <c r="S146" s="8" t="n">
        <f aca="false">VLOOKUP(G146,Benchmarks!$A$2:$I$9,6,FALSE())</f>
        <v>4500</v>
      </c>
      <c r="T146" s="8" t="n">
        <f aca="false">R146*S146*Q146</f>
        <v>5390550</v>
      </c>
      <c r="U146" s="9" t="n">
        <f aca="false">VLOOKUP(F146,Backbones!$A$2:$G$5,6,FALSE())</f>
        <v>0.6</v>
      </c>
      <c r="V146" s="10" t="n">
        <f aca="false">T146/1000000*U146</f>
        <v>3.23433</v>
      </c>
      <c r="W146" s="6" t="s">
        <v>145</v>
      </c>
      <c r="X146" s="6"/>
      <c r="Y146" s="6"/>
    </row>
    <row r="147" customFormat="false" ht="15" hidden="false" customHeight="false" outlineLevel="0" collapsed="false">
      <c r="A147" s="0" t="s">
        <v>227</v>
      </c>
      <c r="B147" s="11" t="s">
        <v>50</v>
      </c>
      <c r="C147" s="0" t="s">
        <v>222</v>
      </c>
      <c r="D147" s="0" t="s">
        <v>223</v>
      </c>
      <c r="E147" s="0" t="s">
        <v>224</v>
      </c>
      <c r="F147" s="0" t="s">
        <v>54</v>
      </c>
      <c r="G147" s="0" t="s">
        <v>55</v>
      </c>
      <c r="H147" s="0" t="n">
        <v>123</v>
      </c>
      <c r="I147" s="11" t="s">
        <v>56</v>
      </c>
      <c r="M147" s="0" t="s">
        <v>225</v>
      </c>
      <c r="N147" s="0" t="s">
        <v>58</v>
      </c>
      <c r="O147" s="0" t="s">
        <v>143</v>
      </c>
      <c r="P147" s="0" t="s">
        <v>226</v>
      </c>
      <c r="Q147" s="12" t="n">
        <f aca="false">VLOOKUP(E147,Conditions!$A$2:$I$13,6,FALSE())</f>
        <v>1.1</v>
      </c>
      <c r="R147" s="13" t="n">
        <f aca="false">VLOOKUP(G147,Benchmarks!$A$2:$I$9,5,FALSE())</f>
        <v>1089</v>
      </c>
      <c r="S147" s="13" t="n">
        <f aca="false">VLOOKUP(G147,Benchmarks!$A$2:$I$9,6,FALSE())</f>
        <v>4500</v>
      </c>
      <c r="T147" s="13" t="n">
        <f aca="false">R147*S147*Q147</f>
        <v>5390550</v>
      </c>
      <c r="U147" s="14" t="n">
        <f aca="false">VLOOKUP(F147,Backbones!$A$2:$G$5,6,FALSE())</f>
        <v>0.6</v>
      </c>
      <c r="V147" s="15" t="n">
        <f aca="false">T147/1000000*U147</f>
        <v>3.23433</v>
      </c>
      <c r="W147" s="11" t="s">
        <v>145</v>
      </c>
    </row>
    <row r="148" customFormat="false" ht="15" hidden="false" customHeight="false" outlineLevel="0" collapsed="false">
      <c r="A148" s="6" t="s">
        <v>228</v>
      </c>
      <c r="B148" s="6" t="s">
        <v>50</v>
      </c>
      <c r="C148" s="6" t="s">
        <v>222</v>
      </c>
      <c r="D148" s="6" t="s">
        <v>223</v>
      </c>
      <c r="E148" s="6" t="s">
        <v>224</v>
      </c>
      <c r="F148" s="6" t="s">
        <v>54</v>
      </c>
      <c r="G148" s="6" t="s">
        <v>55</v>
      </c>
      <c r="H148" s="6" t="n">
        <v>7</v>
      </c>
      <c r="I148" s="6" t="s">
        <v>56</v>
      </c>
      <c r="J148" s="6"/>
      <c r="K148" s="6"/>
      <c r="L148" s="6"/>
      <c r="M148" s="6" t="s">
        <v>225</v>
      </c>
      <c r="N148" s="6" t="s">
        <v>58</v>
      </c>
      <c r="O148" s="6" t="s">
        <v>143</v>
      </c>
      <c r="P148" s="6" t="s">
        <v>226</v>
      </c>
      <c r="Q148" s="7" t="n">
        <f aca="false">VLOOKUP(E148,Conditions!$A$2:$I$13,6,FALSE())</f>
        <v>1.1</v>
      </c>
      <c r="R148" s="8" t="n">
        <f aca="false">VLOOKUP(G148,Benchmarks!$A$2:$I$9,5,FALSE())</f>
        <v>1089</v>
      </c>
      <c r="S148" s="8" t="n">
        <f aca="false">VLOOKUP(G148,Benchmarks!$A$2:$I$9,6,FALSE())</f>
        <v>4500</v>
      </c>
      <c r="T148" s="8" t="n">
        <f aca="false">R148*S148*Q148</f>
        <v>5390550</v>
      </c>
      <c r="U148" s="9" t="n">
        <f aca="false">VLOOKUP(F148,Backbones!$A$2:$G$5,6,FALSE())</f>
        <v>0.6</v>
      </c>
      <c r="V148" s="10" t="n">
        <f aca="false">T148/1000000*U148</f>
        <v>3.23433</v>
      </c>
      <c r="W148" s="6" t="s">
        <v>145</v>
      </c>
      <c r="X148" s="6"/>
      <c r="Y148" s="6"/>
    </row>
    <row r="149" customFormat="false" ht="15" hidden="false" customHeight="false" outlineLevel="0" collapsed="false">
      <c r="A149" s="0" t="s">
        <v>229</v>
      </c>
      <c r="B149" s="11" t="s">
        <v>50</v>
      </c>
      <c r="C149" s="0" t="s">
        <v>222</v>
      </c>
      <c r="D149" s="0" t="s">
        <v>223</v>
      </c>
      <c r="E149" s="0" t="s">
        <v>224</v>
      </c>
      <c r="F149" s="0" t="s">
        <v>54</v>
      </c>
      <c r="G149" s="0" t="s">
        <v>63</v>
      </c>
      <c r="H149" s="0" t="n">
        <v>42</v>
      </c>
      <c r="I149" s="11" t="s">
        <v>56</v>
      </c>
      <c r="M149" s="0" t="s">
        <v>225</v>
      </c>
      <c r="N149" s="0" t="s">
        <v>58</v>
      </c>
      <c r="O149" s="0" t="s">
        <v>143</v>
      </c>
      <c r="P149" s="0" t="s">
        <v>226</v>
      </c>
      <c r="Q149" s="12" t="n">
        <f aca="false">VLOOKUP(E149,Conditions!$A$2:$I$13,6,FALSE())</f>
        <v>1.1</v>
      </c>
      <c r="R149" s="13" t="n">
        <f aca="false">VLOOKUP(G149,Benchmarks!$A$2:$I$9,5,FALSE())</f>
        <v>1273</v>
      </c>
      <c r="S149" s="13" t="n">
        <f aca="false">VLOOKUP(G149,Benchmarks!$A$2:$I$9,6,FALSE())</f>
        <v>5000</v>
      </c>
      <c r="T149" s="13" t="n">
        <f aca="false">R149*S149*Q149</f>
        <v>7001500</v>
      </c>
      <c r="U149" s="14" t="n">
        <f aca="false">VLOOKUP(F149,Backbones!$A$2:$G$5,6,FALSE())</f>
        <v>0.6</v>
      </c>
      <c r="V149" s="15" t="n">
        <f aca="false">T149/1000000*U149</f>
        <v>4.2009</v>
      </c>
      <c r="W149" s="11" t="s">
        <v>145</v>
      </c>
    </row>
    <row r="150" customFormat="false" ht="15" hidden="false" customHeight="false" outlineLevel="0" collapsed="false">
      <c r="A150" s="6" t="s">
        <v>230</v>
      </c>
      <c r="B150" s="6" t="s">
        <v>50</v>
      </c>
      <c r="C150" s="6" t="s">
        <v>222</v>
      </c>
      <c r="D150" s="6" t="s">
        <v>223</v>
      </c>
      <c r="E150" s="6" t="s">
        <v>224</v>
      </c>
      <c r="F150" s="6" t="s">
        <v>54</v>
      </c>
      <c r="G150" s="6" t="s">
        <v>63</v>
      </c>
      <c r="H150" s="6" t="n">
        <v>123</v>
      </c>
      <c r="I150" s="6" t="s">
        <v>56</v>
      </c>
      <c r="J150" s="6"/>
      <c r="K150" s="6"/>
      <c r="L150" s="6"/>
      <c r="M150" s="6" t="s">
        <v>225</v>
      </c>
      <c r="N150" s="6" t="s">
        <v>58</v>
      </c>
      <c r="O150" s="6" t="s">
        <v>143</v>
      </c>
      <c r="P150" s="6" t="s">
        <v>226</v>
      </c>
      <c r="Q150" s="7" t="n">
        <f aca="false">VLOOKUP(E150,Conditions!$A$2:$I$13,6,FALSE())</f>
        <v>1.1</v>
      </c>
      <c r="R150" s="8" t="n">
        <f aca="false">VLOOKUP(G150,Benchmarks!$A$2:$I$9,5,FALSE())</f>
        <v>1273</v>
      </c>
      <c r="S150" s="8" t="n">
        <f aca="false">VLOOKUP(G150,Benchmarks!$A$2:$I$9,6,FALSE())</f>
        <v>5000</v>
      </c>
      <c r="T150" s="8" t="n">
        <f aca="false">R150*S150*Q150</f>
        <v>7001500</v>
      </c>
      <c r="U150" s="9" t="n">
        <f aca="false">VLOOKUP(F150,Backbones!$A$2:$G$5,6,FALSE())</f>
        <v>0.6</v>
      </c>
      <c r="V150" s="10" t="n">
        <f aca="false">T150/1000000*U150</f>
        <v>4.2009</v>
      </c>
      <c r="W150" s="6" t="s">
        <v>145</v>
      </c>
      <c r="X150" s="6"/>
      <c r="Y150" s="6"/>
    </row>
    <row r="151" customFormat="false" ht="15" hidden="false" customHeight="false" outlineLevel="0" collapsed="false">
      <c r="A151" s="0" t="s">
        <v>231</v>
      </c>
      <c r="B151" s="11" t="s">
        <v>50</v>
      </c>
      <c r="C151" s="0" t="s">
        <v>222</v>
      </c>
      <c r="D151" s="0" t="s">
        <v>223</v>
      </c>
      <c r="E151" s="0" t="s">
        <v>224</v>
      </c>
      <c r="F151" s="0" t="s">
        <v>54</v>
      </c>
      <c r="G151" s="0" t="s">
        <v>63</v>
      </c>
      <c r="H151" s="0" t="n">
        <v>7</v>
      </c>
      <c r="I151" s="11" t="s">
        <v>56</v>
      </c>
      <c r="M151" s="0" t="s">
        <v>225</v>
      </c>
      <c r="N151" s="0" t="s">
        <v>58</v>
      </c>
      <c r="O151" s="0" t="s">
        <v>143</v>
      </c>
      <c r="P151" s="0" t="s">
        <v>226</v>
      </c>
      <c r="Q151" s="12" t="n">
        <f aca="false">VLOOKUP(E151,Conditions!$A$2:$I$13,6,FALSE())</f>
        <v>1.1</v>
      </c>
      <c r="R151" s="13" t="n">
        <f aca="false">VLOOKUP(G151,Benchmarks!$A$2:$I$9,5,FALSE())</f>
        <v>1273</v>
      </c>
      <c r="S151" s="13" t="n">
        <f aca="false">VLOOKUP(G151,Benchmarks!$A$2:$I$9,6,FALSE())</f>
        <v>5000</v>
      </c>
      <c r="T151" s="13" t="n">
        <f aca="false">R151*S151*Q151</f>
        <v>7001500</v>
      </c>
      <c r="U151" s="14" t="n">
        <f aca="false">VLOOKUP(F151,Backbones!$A$2:$G$5,6,FALSE())</f>
        <v>0.6</v>
      </c>
      <c r="V151" s="15" t="n">
        <f aca="false">T151/1000000*U151</f>
        <v>4.2009</v>
      </c>
      <c r="W151" s="11" t="s">
        <v>145</v>
      </c>
    </row>
    <row r="152" customFormat="false" ht="15" hidden="false" customHeight="false" outlineLevel="0" collapsed="false">
      <c r="A152" s="6" t="s">
        <v>232</v>
      </c>
      <c r="B152" s="6" t="s">
        <v>50</v>
      </c>
      <c r="C152" s="6" t="s">
        <v>222</v>
      </c>
      <c r="D152" s="6" t="s">
        <v>223</v>
      </c>
      <c r="E152" s="6" t="s">
        <v>224</v>
      </c>
      <c r="F152" s="6" t="s">
        <v>54</v>
      </c>
      <c r="G152" s="6" t="s">
        <v>67</v>
      </c>
      <c r="H152" s="6" t="n">
        <v>42</v>
      </c>
      <c r="I152" s="6" t="s">
        <v>56</v>
      </c>
      <c r="J152" s="6"/>
      <c r="K152" s="6"/>
      <c r="L152" s="6"/>
      <c r="M152" s="6" t="s">
        <v>225</v>
      </c>
      <c r="N152" s="6" t="s">
        <v>58</v>
      </c>
      <c r="O152" s="6" t="s">
        <v>143</v>
      </c>
      <c r="P152" s="6" t="s">
        <v>226</v>
      </c>
      <c r="Q152" s="7" t="n">
        <f aca="false">VLOOKUP(E152,Conditions!$A$2:$I$13,6,FALSE())</f>
        <v>1.1</v>
      </c>
      <c r="R152" s="8" t="n">
        <f aca="false">VLOOKUP(G152,Benchmarks!$A$2:$I$9,5,FALSE())</f>
        <v>4183</v>
      </c>
      <c r="S152" s="8" t="n">
        <f aca="false">VLOOKUP(G152,Benchmarks!$A$2:$I$9,6,FALSE())</f>
        <v>4500</v>
      </c>
      <c r="T152" s="8" t="n">
        <f aca="false">R152*S152*Q152</f>
        <v>20705850</v>
      </c>
      <c r="U152" s="9" t="n">
        <f aca="false">VLOOKUP(F152,Backbones!$A$2:$G$5,6,FALSE())</f>
        <v>0.6</v>
      </c>
      <c r="V152" s="10" t="n">
        <f aca="false">T152/1000000*U152</f>
        <v>12.42351</v>
      </c>
      <c r="W152" s="6" t="s">
        <v>145</v>
      </c>
      <c r="X152" s="6"/>
      <c r="Y152" s="6"/>
    </row>
    <row r="153" customFormat="false" ht="15" hidden="false" customHeight="false" outlineLevel="0" collapsed="false">
      <c r="A153" s="0" t="s">
        <v>233</v>
      </c>
      <c r="B153" s="11" t="s">
        <v>50</v>
      </c>
      <c r="C153" s="0" t="s">
        <v>222</v>
      </c>
      <c r="D153" s="0" t="s">
        <v>223</v>
      </c>
      <c r="E153" s="0" t="s">
        <v>224</v>
      </c>
      <c r="F153" s="0" t="s">
        <v>54</v>
      </c>
      <c r="G153" s="0" t="s">
        <v>67</v>
      </c>
      <c r="H153" s="0" t="n">
        <v>123</v>
      </c>
      <c r="I153" s="11" t="s">
        <v>56</v>
      </c>
      <c r="M153" s="0" t="s">
        <v>225</v>
      </c>
      <c r="N153" s="0" t="s">
        <v>58</v>
      </c>
      <c r="O153" s="0" t="s">
        <v>143</v>
      </c>
      <c r="P153" s="0" t="s">
        <v>226</v>
      </c>
      <c r="Q153" s="12" t="n">
        <f aca="false">VLOOKUP(E153,Conditions!$A$2:$I$13,6,FALSE())</f>
        <v>1.1</v>
      </c>
      <c r="R153" s="13" t="n">
        <f aca="false">VLOOKUP(G153,Benchmarks!$A$2:$I$9,5,FALSE())</f>
        <v>4183</v>
      </c>
      <c r="S153" s="13" t="n">
        <f aca="false">VLOOKUP(G153,Benchmarks!$A$2:$I$9,6,FALSE())</f>
        <v>4500</v>
      </c>
      <c r="T153" s="13" t="n">
        <f aca="false">R153*S153*Q153</f>
        <v>20705850</v>
      </c>
      <c r="U153" s="14" t="n">
        <f aca="false">VLOOKUP(F153,Backbones!$A$2:$G$5,6,FALSE())</f>
        <v>0.6</v>
      </c>
      <c r="V153" s="15" t="n">
        <f aca="false">T153/1000000*U153</f>
        <v>12.42351</v>
      </c>
      <c r="W153" s="11" t="s">
        <v>145</v>
      </c>
    </row>
    <row r="154" customFormat="false" ht="15" hidden="false" customHeight="false" outlineLevel="0" collapsed="false">
      <c r="A154" s="6" t="s">
        <v>234</v>
      </c>
      <c r="B154" s="6" t="s">
        <v>50</v>
      </c>
      <c r="C154" s="6" t="s">
        <v>222</v>
      </c>
      <c r="D154" s="6" t="s">
        <v>223</v>
      </c>
      <c r="E154" s="6" t="s">
        <v>224</v>
      </c>
      <c r="F154" s="6" t="s">
        <v>54</v>
      </c>
      <c r="G154" s="6" t="s">
        <v>67</v>
      </c>
      <c r="H154" s="6" t="n">
        <v>7</v>
      </c>
      <c r="I154" s="6" t="s">
        <v>56</v>
      </c>
      <c r="J154" s="6"/>
      <c r="K154" s="6"/>
      <c r="L154" s="6"/>
      <c r="M154" s="6" t="s">
        <v>225</v>
      </c>
      <c r="N154" s="6" t="s">
        <v>58</v>
      </c>
      <c r="O154" s="6" t="s">
        <v>143</v>
      </c>
      <c r="P154" s="6" t="s">
        <v>226</v>
      </c>
      <c r="Q154" s="7" t="n">
        <f aca="false">VLOOKUP(E154,Conditions!$A$2:$I$13,6,FALSE())</f>
        <v>1.1</v>
      </c>
      <c r="R154" s="8" t="n">
        <f aca="false">VLOOKUP(G154,Benchmarks!$A$2:$I$9,5,FALSE())</f>
        <v>4183</v>
      </c>
      <c r="S154" s="8" t="n">
        <f aca="false">VLOOKUP(G154,Benchmarks!$A$2:$I$9,6,FALSE())</f>
        <v>4500</v>
      </c>
      <c r="T154" s="8" t="n">
        <f aca="false">R154*S154*Q154</f>
        <v>20705850</v>
      </c>
      <c r="U154" s="9" t="n">
        <f aca="false">VLOOKUP(F154,Backbones!$A$2:$G$5,6,FALSE())</f>
        <v>0.6</v>
      </c>
      <c r="V154" s="10" t="n">
        <f aca="false">T154/1000000*U154</f>
        <v>12.42351</v>
      </c>
      <c r="W154" s="6" t="s">
        <v>145</v>
      </c>
      <c r="X154" s="6"/>
      <c r="Y154" s="6"/>
    </row>
    <row r="155" customFormat="false" ht="15" hidden="false" customHeight="false" outlineLevel="0" collapsed="false">
      <c r="A155" s="0" t="s">
        <v>235</v>
      </c>
      <c r="B155" s="11" t="s">
        <v>50</v>
      </c>
      <c r="C155" s="0" t="s">
        <v>222</v>
      </c>
      <c r="D155" s="0" t="s">
        <v>223</v>
      </c>
      <c r="E155" s="0" t="s">
        <v>224</v>
      </c>
      <c r="F155" s="0" t="s">
        <v>54</v>
      </c>
      <c r="G155" s="0" t="s">
        <v>71</v>
      </c>
      <c r="H155" s="0" t="n">
        <v>42</v>
      </c>
      <c r="I155" s="11" t="s">
        <v>56</v>
      </c>
      <c r="M155" s="0" t="s">
        <v>225</v>
      </c>
      <c r="N155" s="0" t="s">
        <v>58</v>
      </c>
      <c r="O155" s="0" t="s">
        <v>143</v>
      </c>
      <c r="P155" s="0" t="s">
        <v>226</v>
      </c>
      <c r="Q155" s="12" t="n">
        <f aca="false">VLOOKUP(E155,Conditions!$A$2:$I$13,6,FALSE())</f>
        <v>1.1</v>
      </c>
      <c r="R155" s="13" t="n">
        <f aca="false">VLOOKUP(G155,Benchmarks!$A$2:$I$9,5,FALSE())</f>
        <v>500</v>
      </c>
      <c r="S155" s="13" t="n">
        <f aca="false">VLOOKUP(G155,Benchmarks!$A$2:$I$9,6,FALSE())</f>
        <v>5500</v>
      </c>
      <c r="T155" s="13" t="n">
        <f aca="false">R155*S155*Q155</f>
        <v>3025000</v>
      </c>
      <c r="U155" s="14" t="n">
        <f aca="false">VLOOKUP(F155,Backbones!$A$2:$G$5,6,FALSE())</f>
        <v>0.6</v>
      </c>
      <c r="V155" s="15" t="n">
        <f aca="false">T155/1000000*U155</f>
        <v>1.815</v>
      </c>
      <c r="W155" s="11" t="s">
        <v>145</v>
      </c>
    </row>
    <row r="156" customFormat="false" ht="15" hidden="false" customHeight="false" outlineLevel="0" collapsed="false">
      <c r="A156" s="6" t="s">
        <v>236</v>
      </c>
      <c r="B156" s="6" t="s">
        <v>50</v>
      </c>
      <c r="C156" s="6" t="s">
        <v>222</v>
      </c>
      <c r="D156" s="6" t="s">
        <v>223</v>
      </c>
      <c r="E156" s="6" t="s">
        <v>224</v>
      </c>
      <c r="F156" s="6" t="s">
        <v>54</v>
      </c>
      <c r="G156" s="6" t="s">
        <v>71</v>
      </c>
      <c r="H156" s="6" t="n">
        <v>123</v>
      </c>
      <c r="I156" s="6" t="s">
        <v>56</v>
      </c>
      <c r="J156" s="6"/>
      <c r="K156" s="6"/>
      <c r="L156" s="6"/>
      <c r="M156" s="6" t="s">
        <v>225</v>
      </c>
      <c r="N156" s="6" t="s">
        <v>58</v>
      </c>
      <c r="O156" s="6" t="s">
        <v>143</v>
      </c>
      <c r="P156" s="6" t="s">
        <v>226</v>
      </c>
      <c r="Q156" s="7" t="n">
        <f aca="false">VLOOKUP(E156,Conditions!$A$2:$I$13,6,FALSE())</f>
        <v>1.1</v>
      </c>
      <c r="R156" s="8" t="n">
        <f aca="false">VLOOKUP(G156,Benchmarks!$A$2:$I$9,5,FALSE())</f>
        <v>500</v>
      </c>
      <c r="S156" s="8" t="n">
        <f aca="false">VLOOKUP(G156,Benchmarks!$A$2:$I$9,6,FALSE())</f>
        <v>5500</v>
      </c>
      <c r="T156" s="8" t="n">
        <f aca="false">R156*S156*Q156</f>
        <v>3025000</v>
      </c>
      <c r="U156" s="9" t="n">
        <f aca="false">VLOOKUP(F156,Backbones!$A$2:$G$5,6,FALSE())</f>
        <v>0.6</v>
      </c>
      <c r="V156" s="10" t="n">
        <f aca="false">T156/1000000*U156</f>
        <v>1.815</v>
      </c>
      <c r="W156" s="6" t="s">
        <v>145</v>
      </c>
      <c r="X156" s="6"/>
      <c r="Y156" s="6"/>
    </row>
    <row r="157" customFormat="false" ht="15" hidden="false" customHeight="false" outlineLevel="0" collapsed="false">
      <c r="A157" s="0" t="s">
        <v>237</v>
      </c>
      <c r="B157" s="11" t="s">
        <v>50</v>
      </c>
      <c r="C157" s="0" t="s">
        <v>222</v>
      </c>
      <c r="D157" s="0" t="s">
        <v>223</v>
      </c>
      <c r="E157" s="0" t="s">
        <v>224</v>
      </c>
      <c r="F157" s="0" t="s">
        <v>54</v>
      </c>
      <c r="G157" s="0" t="s">
        <v>71</v>
      </c>
      <c r="H157" s="0" t="n">
        <v>7</v>
      </c>
      <c r="I157" s="11" t="s">
        <v>56</v>
      </c>
      <c r="M157" s="0" t="s">
        <v>225</v>
      </c>
      <c r="N157" s="0" t="s">
        <v>58</v>
      </c>
      <c r="O157" s="0" t="s">
        <v>143</v>
      </c>
      <c r="P157" s="0" t="s">
        <v>226</v>
      </c>
      <c r="Q157" s="12" t="n">
        <f aca="false">VLOOKUP(E157,Conditions!$A$2:$I$13,6,FALSE())</f>
        <v>1.1</v>
      </c>
      <c r="R157" s="13" t="n">
        <f aca="false">VLOOKUP(G157,Benchmarks!$A$2:$I$9,5,FALSE())</f>
        <v>500</v>
      </c>
      <c r="S157" s="13" t="n">
        <f aca="false">VLOOKUP(G157,Benchmarks!$A$2:$I$9,6,FALSE())</f>
        <v>5500</v>
      </c>
      <c r="T157" s="13" t="n">
        <f aca="false">R157*S157*Q157</f>
        <v>3025000</v>
      </c>
      <c r="U157" s="14" t="n">
        <f aca="false">VLOOKUP(F157,Backbones!$A$2:$G$5,6,FALSE())</f>
        <v>0.6</v>
      </c>
      <c r="V157" s="15" t="n">
        <f aca="false">T157/1000000*U157</f>
        <v>1.815</v>
      </c>
      <c r="W157" s="11" t="s">
        <v>145</v>
      </c>
    </row>
    <row r="158" customFormat="false" ht="15" hidden="false" customHeight="false" outlineLevel="0" collapsed="false">
      <c r="A158" s="6" t="s">
        <v>238</v>
      </c>
      <c r="B158" s="6" t="s">
        <v>50</v>
      </c>
      <c r="C158" s="6" t="s">
        <v>222</v>
      </c>
      <c r="D158" s="6" t="s">
        <v>223</v>
      </c>
      <c r="E158" s="6" t="s">
        <v>224</v>
      </c>
      <c r="F158" s="6" t="s">
        <v>54</v>
      </c>
      <c r="G158" s="6" t="s">
        <v>75</v>
      </c>
      <c r="H158" s="6" t="n">
        <v>42</v>
      </c>
      <c r="I158" s="6" t="s">
        <v>56</v>
      </c>
      <c r="J158" s="6"/>
      <c r="K158" s="6"/>
      <c r="L158" s="6"/>
      <c r="M158" s="6" t="s">
        <v>225</v>
      </c>
      <c r="N158" s="6" t="s">
        <v>58</v>
      </c>
      <c r="O158" s="6" t="s">
        <v>143</v>
      </c>
      <c r="P158" s="6" t="s">
        <v>226</v>
      </c>
      <c r="Q158" s="7" t="n">
        <f aca="false">VLOOKUP(E158,Conditions!$A$2:$I$13,6,FALSE())</f>
        <v>1.1</v>
      </c>
      <c r="R158" s="8" t="n">
        <f aca="false">VLOOKUP(G158,Benchmarks!$A$2:$I$9,5,FALSE())</f>
        <v>618</v>
      </c>
      <c r="S158" s="8" t="n">
        <f aca="false">VLOOKUP(G158,Benchmarks!$A$2:$I$9,6,FALSE())</f>
        <v>5000</v>
      </c>
      <c r="T158" s="8" t="n">
        <f aca="false">R158*S158*Q158</f>
        <v>3399000</v>
      </c>
      <c r="U158" s="9" t="n">
        <f aca="false">VLOOKUP(F158,Backbones!$A$2:$G$5,6,FALSE())</f>
        <v>0.6</v>
      </c>
      <c r="V158" s="10" t="n">
        <f aca="false">T158/1000000*U158</f>
        <v>2.0394</v>
      </c>
      <c r="W158" s="6" t="s">
        <v>145</v>
      </c>
      <c r="X158" s="6"/>
      <c r="Y158" s="6"/>
    </row>
    <row r="159" customFormat="false" ht="15" hidden="false" customHeight="false" outlineLevel="0" collapsed="false">
      <c r="A159" s="0" t="s">
        <v>239</v>
      </c>
      <c r="B159" s="11" t="s">
        <v>50</v>
      </c>
      <c r="C159" s="0" t="s">
        <v>222</v>
      </c>
      <c r="D159" s="0" t="s">
        <v>223</v>
      </c>
      <c r="E159" s="0" t="s">
        <v>224</v>
      </c>
      <c r="F159" s="0" t="s">
        <v>54</v>
      </c>
      <c r="G159" s="0" t="s">
        <v>75</v>
      </c>
      <c r="H159" s="0" t="n">
        <v>123</v>
      </c>
      <c r="I159" s="11" t="s">
        <v>56</v>
      </c>
      <c r="M159" s="0" t="s">
        <v>225</v>
      </c>
      <c r="N159" s="0" t="s">
        <v>58</v>
      </c>
      <c r="O159" s="0" t="s">
        <v>143</v>
      </c>
      <c r="P159" s="0" t="s">
        <v>226</v>
      </c>
      <c r="Q159" s="12" t="n">
        <f aca="false">VLOOKUP(E159,Conditions!$A$2:$I$13,6,FALSE())</f>
        <v>1.1</v>
      </c>
      <c r="R159" s="13" t="n">
        <f aca="false">VLOOKUP(G159,Benchmarks!$A$2:$I$9,5,FALSE())</f>
        <v>618</v>
      </c>
      <c r="S159" s="13" t="n">
        <f aca="false">VLOOKUP(G159,Benchmarks!$A$2:$I$9,6,FALSE())</f>
        <v>5000</v>
      </c>
      <c r="T159" s="13" t="n">
        <f aca="false">R159*S159*Q159</f>
        <v>3399000</v>
      </c>
      <c r="U159" s="14" t="n">
        <f aca="false">VLOOKUP(F159,Backbones!$A$2:$G$5,6,FALSE())</f>
        <v>0.6</v>
      </c>
      <c r="V159" s="15" t="n">
        <f aca="false">T159/1000000*U159</f>
        <v>2.0394</v>
      </c>
      <c r="W159" s="11" t="s">
        <v>145</v>
      </c>
    </row>
    <row r="160" customFormat="false" ht="15" hidden="false" customHeight="false" outlineLevel="0" collapsed="false">
      <c r="A160" s="6" t="s">
        <v>240</v>
      </c>
      <c r="B160" s="6" t="s">
        <v>50</v>
      </c>
      <c r="C160" s="6" t="s">
        <v>222</v>
      </c>
      <c r="D160" s="6" t="s">
        <v>223</v>
      </c>
      <c r="E160" s="6" t="s">
        <v>224</v>
      </c>
      <c r="F160" s="6" t="s">
        <v>54</v>
      </c>
      <c r="G160" s="6" t="s">
        <v>75</v>
      </c>
      <c r="H160" s="6" t="n">
        <v>7</v>
      </c>
      <c r="I160" s="6" t="s">
        <v>56</v>
      </c>
      <c r="J160" s="6"/>
      <c r="K160" s="6"/>
      <c r="L160" s="6"/>
      <c r="M160" s="6" t="s">
        <v>225</v>
      </c>
      <c r="N160" s="6" t="s">
        <v>58</v>
      </c>
      <c r="O160" s="6" t="s">
        <v>143</v>
      </c>
      <c r="P160" s="6" t="s">
        <v>226</v>
      </c>
      <c r="Q160" s="7" t="n">
        <f aca="false">VLOOKUP(E160,Conditions!$A$2:$I$13,6,FALSE())</f>
        <v>1.1</v>
      </c>
      <c r="R160" s="8" t="n">
        <f aca="false">VLOOKUP(G160,Benchmarks!$A$2:$I$9,5,FALSE())</f>
        <v>618</v>
      </c>
      <c r="S160" s="8" t="n">
        <f aca="false">VLOOKUP(G160,Benchmarks!$A$2:$I$9,6,FALSE())</f>
        <v>5000</v>
      </c>
      <c r="T160" s="8" t="n">
        <f aca="false">R160*S160*Q160</f>
        <v>3399000</v>
      </c>
      <c r="U160" s="9" t="n">
        <f aca="false">VLOOKUP(F160,Backbones!$A$2:$G$5,6,FALSE())</f>
        <v>0.6</v>
      </c>
      <c r="V160" s="10" t="n">
        <f aca="false">T160/1000000*U160</f>
        <v>2.0394</v>
      </c>
      <c r="W160" s="6" t="s">
        <v>145</v>
      </c>
      <c r="X160" s="6"/>
      <c r="Y160" s="6"/>
    </row>
    <row r="161" customFormat="false" ht="15" hidden="false" customHeight="false" outlineLevel="0" collapsed="false">
      <c r="A161" s="0" t="s">
        <v>241</v>
      </c>
      <c r="B161" s="11" t="s">
        <v>50</v>
      </c>
      <c r="C161" s="0" t="s">
        <v>222</v>
      </c>
      <c r="D161" s="0" t="s">
        <v>223</v>
      </c>
      <c r="E161" s="0" t="s">
        <v>224</v>
      </c>
      <c r="F161" s="0" t="s">
        <v>54</v>
      </c>
      <c r="G161" s="0" t="s">
        <v>79</v>
      </c>
      <c r="H161" s="0" t="n">
        <v>42</v>
      </c>
      <c r="I161" s="11" t="s">
        <v>56</v>
      </c>
      <c r="M161" s="0" t="s">
        <v>225</v>
      </c>
      <c r="N161" s="0" t="s">
        <v>58</v>
      </c>
      <c r="O161" s="0" t="s">
        <v>143</v>
      </c>
      <c r="P161" s="0" t="s">
        <v>226</v>
      </c>
      <c r="Q161" s="12" t="n">
        <f aca="false">VLOOKUP(E161,Conditions!$A$2:$I$13,6,FALSE())</f>
        <v>1.1</v>
      </c>
      <c r="R161" s="13" t="n">
        <f aca="false">VLOOKUP(G161,Benchmarks!$A$2:$I$9,5,FALSE())</f>
        <v>50</v>
      </c>
      <c r="S161" s="13" t="n">
        <f aca="false">VLOOKUP(G161,Benchmarks!$A$2:$I$9,6,FALSE())</f>
        <v>8000</v>
      </c>
      <c r="T161" s="13" t="n">
        <f aca="false">R161*S161*Q161</f>
        <v>440000</v>
      </c>
      <c r="U161" s="14" t="n">
        <f aca="false">VLOOKUP(F161,Backbones!$A$2:$G$5,6,FALSE())</f>
        <v>0.6</v>
      </c>
      <c r="V161" s="15" t="n">
        <f aca="false">T161/1000000*U161</f>
        <v>0.264</v>
      </c>
      <c r="W161" s="11" t="s">
        <v>145</v>
      </c>
    </row>
    <row r="162" customFormat="false" ht="15" hidden="false" customHeight="false" outlineLevel="0" collapsed="false">
      <c r="A162" s="6" t="s">
        <v>242</v>
      </c>
      <c r="B162" s="6" t="s">
        <v>50</v>
      </c>
      <c r="C162" s="6" t="s">
        <v>222</v>
      </c>
      <c r="D162" s="6" t="s">
        <v>223</v>
      </c>
      <c r="E162" s="6" t="s">
        <v>224</v>
      </c>
      <c r="F162" s="6" t="s">
        <v>54</v>
      </c>
      <c r="G162" s="6" t="s">
        <v>79</v>
      </c>
      <c r="H162" s="6" t="n">
        <v>123</v>
      </c>
      <c r="I162" s="6" t="s">
        <v>56</v>
      </c>
      <c r="J162" s="6"/>
      <c r="K162" s="6"/>
      <c r="L162" s="6"/>
      <c r="M162" s="6" t="s">
        <v>225</v>
      </c>
      <c r="N162" s="6" t="s">
        <v>58</v>
      </c>
      <c r="O162" s="6" t="s">
        <v>143</v>
      </c>
      <c r="P162" s="6" t="s">
        <v>226</v>
      </c>
      <c r="Q162" s="7" t="n">
        <f aca="false">VLOOKUP(E162,Conditions!$A$2:$I$13,6,FALSE())</f>
        <v>1.1</v>
      </c>
      <c r="R162" s="8" t="n">
        <f aca="false">VLOOKUP(G162,Benchmarks!$A$2:$I$9,5,FALSE())</f>
        <v>50</v>
      </c>
      <c r="S162" s="8" t="n">
        <f aca="false">VLOOKUP(G162,Benchmarks!$A$2:$I$9,6,FALSE())</f>
        <v>8000</v>
      </c>
      <c r="T162" s="8" t="n">
        <f aca="false">R162*S162*Q162</f>
        <v>440000</v>
      </c>
      <c r="U162" s="9" t="n">
        <f aca="false">VLOOKUP(F162,Backbones!$A$2:$G$5,6,FALSE())</f>
        <v>0.6</v>
      </c>
      <c r="V162" s="10" t="n">
        <f aca="false">T162/1000000*U162</f>
        <v>0.264</v>
      </c>
      <c r="W162" s="6" t="s">
        <v>145</v>
      </c>
      <c r="X162" s="6"/>
      <c r="Y162" s="6"/>
    </row>
    <row r="163" customFormat="false" ht="15" hidden="false" customHeight="false" outlineLevel="0" collapsed="false">
      <c r="A163" s="0" t="s">
        <v>243</v>
      </c>
      <c r="B163" s="11" t="s">
        <v>50</v>
      </c>
      <c r="C163" s="0" t="s">
        <v>222</v>
      </c>
      <c r="D163" s="0" t="s">
        <v>223</v>
      </c>
      <c r="E163" s="0" t="s">
        <v>224</v>
      </c>
      <c r="F163" s="0" t="s">
        <v>54</v>
      </c>
      <c r="G163" s="0" t="s">
        <v>79</v>
      </c>
      <c r="H163" s="0" t="n">
        <v>7</v>
      </c>
      <c r="I163" s="11" t="s">
        <v>56</v>
      </c>
      <c r="M163" s="0" t="s">
        <v>225</v>
      </c>
      <c r="N163" s="0" t="s">
        <v>58</v>
      </c>
      <c r="O163" s="0" t="s">
        <v>143</v>
      </c>
      <c r="P163" s="0" t="s">
        <v>226</v>
      </c>
      <c r="Q163" s="12" t="n">
        <f aca="false">VLOOKUP(E163,Conditions!$A$2:$I$13,6,FALSE())</f>
        <v>1.1</v>
      </c>
      <c r="R163" s="13" t="n">
        <f aca="false">VLOOKUP(G163,Benchmarks!$A$2:$I$9,5,FALSE())</f>
        <v>50</v>
      </c>
      <c r="S163" s="13" t="n">
        <f aca="false">VLOOKUP(G163,Benchmarks!$A$2:$I$9,6,FALSE())</f>
        <v>8000</v>
      </c>
      <c r="T163" s="13" t="n">
        <f aca="false">R163*S163*Q163</f>
        <v>440000</v>
      </c>
      <c r="U163" s="14" t="n">
        <f aca="false">VLOOKUP(F163,Backbones!$A$2:$G$5,6,FALSE())</f>
        <v>0.6</v>
      </c>
      <c r="V163" s="15" t="n">
        <f aca="false">T163/1000000*U163</f>
        <v>0.264</v>
      </c>
      <c r="W163" s="11" t="s">
        <v>145</v>
      </c>
    </row>
    <row r="164" customFormat="false" ht="15" hidden="false" customHeight="false" outlineLevel="0" collapsed="false">
      <c r="A164" s="6" t="s">
        <v>244</v>
      </c>
      <c r="B164" s="6" t="s">
        <v>50</v>
      </c>
      <c r="C164" s="6" t="s">
        <v>222</v>
      </c>
      <c r="D164" s="6" t="s">
        <v>223</v>
      </c>
      <c r="E164" s="6" t="s">
        <v>224</v>
      </c>
      <c r="F164" s="6" t="s">
        <v>54</v>
      </c>
      <c r="G164" s="6" t="s">
        <v>83</v>
      </c>
      <c r="H164" s="6" t="n">
        <v>42</v>
      </c>
      <c r="I164" s="6" t="s">
        <v>56</v>
      </c>
      <c r="J164" s="6"/>
      <c r="K164" s="6"/>
      <c r="L164" s="6"/>
      <c r="M164" s="6" t="s">
        <v>225</v>
      </c>
      <c r="N164" s="6" t="s">
        <v>58</v>
      </c>
      <c r="O164" s="6" t="s">
        <v>143</v>
      </c>
      <c r="P164" s="6" t="s">
        <v>226</v>
      </c>
      <c r="Q164" s="7" t="n">
        <f aca="false">VLOOKUP(E164,Conditions!$A$2:$I$13,6,FALSE())</f>
        <v>1.1</v>
      </c>
      <c r="R164" s="8" t="n">
        <f aca="false">VLOOKUP(G164,Benchmarks!$A$2:$I$9,5,FALSE())</f>
        <v>200</v>
      </c>
      <c r="S164" s="8" t="n">
        <f aca="false">VLOOKUP(G164,Benchmarks!$A$2:$I$9,6,FALSE())</f>
        <v>8000</v>
      </c>
      <c r="T164" s="8" t="n">
        <f aca="false">R164*S164*Q164</f>
        <v>1760000</v>
      </c>
      <c r="U164" s="9" t="n">
        <f aca="false">VLOOKUP(F164,Backbones!$A$2:$G$5,6,FALSE())</f>
        <v>0.6</v>
      </c>
      <c r="V164" s="10" t="n">
        <f aca="false">T164/1000000*U164</f>
        <v>1.056</v>
      </c>
      <c r="W164" s="6" t="s">
        <v>145</v>
      </c>
      <c r="X164" s="6"/>
      <c r="Y164" s="6"/>
    </row>
    <row r="165" customFormat="false" ht="15" hidden="false" customHeight="false" outlineLevel="0" collapsed="false">
      <c r="A165" s="0" t="s">
        <v>245</v>
      </c>
      <c r="B165" s="11" t="s">
        <v>50</v>
      </c>
      <c r="C165" s="0" t="s">
        <v>222</v>
      </c>
      <c r="D165" s="0" t="s">
        <v>223</v>
      </c>
      <c r="E165" s="0" t="s">
        <v>224</v>
      </c>
      <c r="F165" s="0" t="s">
        <v>54</v>
      </c>
      <c r="G165" s="0" t="s">
        <v>83</v>
      </c>
      <c r="H165" s="0" t="n">
        <v>123</v>
      </c>
      <c r="I165" s="11" t="s">
        <v>56</v>
      </c>
      <c r="M165" s="0" t="s">
        <v>225</v>
      </c>
      <c r="N165" s="0" t="s">
        <v>58</v>
      </c>
      <c r="O165" s="0" t="s">
        <v>143</v>
      </c>
      <c r="P165" s="0" t="s">
        <v>226</v>
      </c>
      <c r="Q165" s="12" t="n">
        <f aca="false">VLOOKUP(E165,Conditions!$A$2:$I$13,6,FALSE())</f>
        <v>1.1</v>
      </c>
      <c r="R165" s="13" t="n">
        <f aca="false">VLOOKUP(G165,Benchmarks!$A$2:$I$9,5,FALSE())</f>
        <v>200</v>
      </c>
      <c r="S165" s="13" t="n">
        <f aca="false">VLOOKUP(G165,Benchmarks!$A$2:$I$9,6,FALSE())</f>
        <v>8000</v>
      </c>
      <c r="T165" s="13" t="n">
        <f aca="false">R165*S165*Q165</f>
        <v>1760000</v>
      </c>
      <c r="U165" s="14" t="n">
        <f aca="false">VLOOKUP(F165,Backbones!$A$2:$G$5,6,FALSE())</f>
        <v>0.6</v>
      </c>
      <c r="V165" s="15" t="n">
        <f aca="false">T165/1000000*U165</f>
        <v>1.056</v>
      </c>
      <c r="W165" s="11" t="s">
        <v>145</v>
      </c>
    </row>
    <row r="166" customFormat="false" ht="15" hidden="false" customHeight="false" outlineLevel="0" collapsed="false">
      <c r="A166" s="6" t="s">
        <v>246</v>
      </c>
      <c r="B166" s="6" t="s">
        <v>50</v>
      </c>
      <c r="C166" s="6" t="s">
        <v>222</v>
      </c>
      <c r="D166" s="6" t="s">
        <v>223</v>
      </c>
      <c r="E166" s="6" t="s">
        <v>224</v>
      </c>
      <c r="F166" s="6" t="s">
        <v>54</v>
      </c>
      <c r="G166" s="6" t="s">
        <v>83</v>
      </c>
      <c r="H166" s="6" t="n">
        <v>7</v>
      </c>
      <c r="I166" s="6" t="s">
        <v>56</v>
      </c>
      <c r="J166" s="6"/>
      <c r="K166" s="6"/>
      <c r="L166" s="6"/>
      <c r="M166" s="6" t="s">
        <v>225</v>
      </c>
      <c r="N166" s="6" t="s">
        <v>58</v>
      </c>
      <c r="O166" s="6" t="s">
        <v>143</v>
      </c>
      <c r="P166" s="6" t="s">
        <v>226</v>
      </c>
      <c r="Q166" s="7" t="n">
        <f aca="false">VLOOKUP(E166,Conditions!$A$2:$I$13,6,FALSE())</f>
        <v>1.1</v>
      </c>
      <c r="R166" s="8" t="n">
        <f aca="false">VLOOKUP(G166,Benchmarks!$A$2:$I$9,5,FALSE())</f>
        <v>200</v>
      </c>
      <c r="S166" s="8" t="n">
        <f aca="false">VLOOKUP(G166,Benchmarks!$A$2:$I$9,6,FALSE())</f>
        <v>8000</v>
      </c>
      <c r="T166" s="8" t="n">
        <f aca="false">R166*S166*Q166</f>
        <v>1760000</v>
      </c>
      <c r="U166" s="9" t="n">
        <f aca="false">VLOOKUP(F166,Backbones!$A$2:$G$5,6,FALSE())</f>
        <v>0.6</v>
      </c>
      <c r="V166" s="10" t="n">
        <f aca="false">T166/1000000*U166</f>
        <v>1.056</v>
      </c>
      <c r="W166" s="6" t="s">
        <v>145</v>
      </c>
      <c r="X166" s="6"/>
      <c r="Y166" s="6"/>
    </row>
    <row r="167" customFormat="false" ht="15" hidden="false" customHeight="false" outlineLevel="0" collapsed="false">
      <c r="A167" s="0" t="s">
        <v>247</v>
      </c>
      <c r="B167" s="11" t="s">
        <v>50</v>
      </c>
      <c r="C167" s="0" t="s">
        <v>222</v>
      </c>
      <c r="D167" s="0" t="s">
        <v>223</v>
      </c>
      <c r="E167" s="0" t="s">
        <v>224</v>
      </c>
      <c r="F167" s="0" t="s">
        <v>54</v>
      </c>
      <c r="G167" s="0" t="s">
        <v>87</v>
      </c>
      <c r="H167" s="0" t="n">
        <v>42</v>
      </c>
      <c r="I167" s="11" t="s">
        <v>56</v>
      </c>
      <c r="M167" s="0" t="s">
        <v>225</v>
      </c>
      <c r="N167" s="0" t="s">
        <v>58</v>
      </c>
      <c r="O167" s="0" t="s">
        <v>143</v>
      </c>
      <c r="P167" s="0" t="s">
        <v>226</v>
      </c>
      <c r="Q167" s="12" t="n">
        <f aca="false">VLOOKUP(E167,Conditions!$A$2:$I$13,6,FALSE())</f>
        <v>1.1</v>
      </c>
      <c r="R167" s="13" t="n">
        <f aca="false">VLOOKUP(G167,Benchmarks!$A$2:$I$9,5,FALSE())</f>
        <v>150</v>
      </c>
      <c r="S167" s="13" t="n">
        <f aca="false">VLOOKUP(G167,Benchmarks!$A$2:$I$9,6,FALSE())</f>
        <v>6000</v>
      </c>
      <c r="T167" s="13" t="n">
        <f aca="false">R167*S167*Q167</f>
        <v>990000</v>
      </c>
      <c r="U167" s="14" t="n">
        <f aca="false">VLOOKUP(F167,Backbones!$A$2:$G$5,6,FALSE())</f>
        <v>0.6</v>
      </c>
      <c r="V167" s="15" t="n">
        <f aca="false">T167/1000000*U167</f>
        <v>0.594</v>
      </c>
      <c r="W167" s="11" t="s">
        <v>145</v>
      </c>
    </row>
    <row r="168" customFormat="false" ht="15" hidden="false" customHeight="false" outlineLevel="0" collapsed="false">
      <c r="A168" s="6" t="s">
        <v>248</v>
      </c>
      <c r="B168" s="6" t="s">
        <v>50</v>
      </c>
      <c r="C168" s="6" t="s">
        <v>222</v>
      </c>
      <c r="D168" s="6" t="s">
        <v>223</v>
      </c>
      <c r="E168" s="6" t="s">
        <v>224</v>
      </c>
      <c r="F168" s="6" t="s">
        <v>54</v>
      </c>
      <c r="G168" s="6" t="s">
        <v>87</v>
      </c>
      <c r="H168" s="6" t="n">
        <v>123</v>
      </c>
      <c r="I168" s="6" t="s">
        <v>56</v>
      </c>
      <c r="J168" s="6"/>
      <c r="K168" s="6"/>
      <c r="L168" s="6"/>
      <c r="M168" s="6" t="s">
        <v>225</v>
      </c>
      <c r="N168" s="6" t="s">
        <v>58</v>
      </c>
      <c r="O168" s="6" t="s">
        <v>143</v>
      </c>
      <c r="P168" s="6" t="s">
        <v>226</v>
      </c>
      <c r="Q168" s="7" t="n">
        <f aca="false">VLOOKUP(E168,Conditions!$A$2:$I$13,6,FALSE())</f>
        <v>1.1</v>
      </c>
      <c r="R168" s="8" t="n">
        <f aca="false">VLOOKUP(G168,Benchmarks!$A$2:$I$9,5,FALSE())</f>
        <v>150</v>
      </c>
      <c r="S168" s="8" t="n">
        <f aca="false">VLOOKUP(G168,Benchmarks!$A$2:$I$9,6,FALSE())</f>
        <v>6000</v>
      </c>
      <c r="T168" s="8" t="n">
        <f aca="false">R168*S168*Q168</f>
        <v>990000</v>
      </c>
      <c r="U168" s="9" t="n">
        <f aca="false">VLOOKUP(F168,Backbones!$A$2:$G$5,6,FALSE())</f>
        <v>0.6</v>
      </c>
      <c r="V168" s="10" t="n">
        <f aca="false">T168/1000000*U168</f>
        <v>0.594</v>
      </c>
      <c r="W168" s="6" t="s">
        <v>145</v>
      </c>
      <c r="X168" s="6"/>
      <c r="Y168" s="6"/>
    </row>
    <row r="169" customFormat="false" ht="15" hidden="false" customHeight="false" outlineLevel="0" collapsed="false">
      <c r="A169" s="0" t="s">
        <v>249</v>
      </c>
      <c r="B169" s="11" t="s">
        <v>50</v>
      </c>
      <c r="C169" s="0" t="s">
        <v>222</v>
      </c>
      <c r="D169" s="0" t="s">
        <v>223</v>
      </c>
      <c r="E169" s="0" t="s">
        <v>224</v>
      </c>
      <c r="F169" s="0" t="s">
        <v>54</v>
      </c>
      <c r="G169" s="0" t="s">
        <v>87</v>
      </c>
      <c r="H169" s="0" t="n">
        <v>7</v>
      </c>
      <c r="I169" s="11" t="s">
        <v>56</v>
      </c>
      <c r="M169" s="0" t="s">
        <v>225</v>
      </c>
      <c r="N169" s="0" t="s">
        <v>58</v>
      </c>
      <c r="O169" s="0" t="s">
        <v>143</v>
      </c>
      <c r="P169" s="0" t="s">
        <v>226</v>
      </c>
      <c r="Q169" s="12" t="n">
        <f aca="false">VLOOKUP(E169,Conditions!$A$2:$I$13,6,FALSE())</f>
        <v>1.1</v>
      </c>
      <c r="R169" s="13" t="n">
        <f aca="false">VLOOKUP(G169,Benchmarks!$A$2:$I$9,5,FALSE())</f>
        <v>150</v>
      </c>
      <c r="S169" s="13" t="n">
        <f aca="false">VLOOKUP(G169,Benchmarks!$A$2:$I$9,6,FALSE())</f>
        <v>6000</v>
      </c>
      <c r="T169" s="13" t="n">
        <f aca="false">R169*S169*Q169</f>
        <v>990000</v>
      </c>
      <c r="U169" s="14" t="n">
        <f aca="false">VLOOKUP(F169,Backbones!$A$2:$G$5,6,FALSE())</f>
        <v>0.6</v>
      </c>
      <c r="V169" s="15" t="n">
        <f aca="false">T169/1000000*U169</f>
        <v>0.594</v>
      </c>
      <c r="W169" s="11" t="s">
        <v>145</v>
      </c>
    </row>
    <row r="170" customFormat="false" ht="15" hidden="false" customHeight="false" outlineLevel="0" collapsed="false">
      <c r="A170" s="6" t="s">
        <v>250</v>
      </c>
      <c r="B170" s="6" t="s">
        <v>50</v>
      </c>
      <c r="C170" s="6" t="s">
        <v>251</v>
      </c>
      <c r="D170" s="6" t="s">
        <v>223</v>
      </c>
      <c r="E170" s="6" t="s">
        <v>252</v>
      </c>
      <c r="F170" s="6" t="s">
        <v>54</v>
      </c>
      <c r="G170" s="6" t="s">
        <v>55</v>
      </c>
      <c r="H170" s="6" t="n">
        <v>42</v>
      </c>
      <c r="I170" s="6" t="s">
        <v>56</v>
      </c>
      <c r="J170" s="6"/>
      <c r="K170" s="6"/>
      <c r="L170" s="6"/>
      <c r="M170" s="6" t="s">
        <v>225</v>
      </c>
      <c r="N170" s="6" t="s">
        <v>253</v>
      </c>
      <c r="O170" s="6" t="s">
        <v>143</v>
      </c>
      <c r="P170" s="6" t="s">
        <v>226</v>
      </c>
      <c r="Q170" s="7" t="n">
        <f aca="false">VLOOKUP(E170,Conditions!$A$2:$I$13,6,FALSE())</f>
        <v>1.15</v>
      </c>
      <c r="R170" s="8" t="n">
        <f aca="false">VLOOKUP(G170,Benchmarks!$A$2:$I$9,5,FALSE())</f>
        <v>1089</v>
      </c>
      <c r="S170" s="8" t="n">
        <f aca="false">VLOOKUP(G170,Benchmarks!$A$2:$I$9,6,FALSE())</f>
        <v>4500</v>
      </c>
      <c r="T170" s="8" t="n">
        <f aca="false">R170*S170*Q170</f>
        <v>5635575</v>
      </c>
      <c r="U170" s="9" t="n">
        <f aca="false">VLOOKUP(F170,Backbones!$A$2:$G$5,6,FALSE())</f>
        <v>0.6</v>
      </c>
      <c r="V170" s="10" t="n">
        <f aca="false">T170/1000000*U170</f>
        <v>3.381345</v>
      </c>
      <c r="W170" s="6" t="s">
        <v>254</v>
      </c>
      <c r="X170" s="6"/>
      <c r="Y170" s="6"/>
    </row>
    <row r="171" customFormat="false" ht="15" hidden="false" customHeight="false" outlineLevel="0" collapsed="false">
      <c r="A171" s="0" t="s">
        <v>255</v>
      </c>
      <c r="B171" s="11" t="s">
        <v>50</v>
      </c>
      <c r="C171" s="0" t="s">
        <v>251</v>
      </c>
      <c r="D171" s="0" t="s">
        <v>223</v>
      </c>
      <c r="E171" s="0" t="s">
        <v>252</v>
      </c>
      <c r="F171" s="0" t="s">
        <v>54</v>
      </c>
      <c r="G171" s="0" t="s">
        <v>55</v>
      </c>
      <c r="H171" s="0" t="n">
        <v>123</v>
      </c>
      <c r="I171" s="11" t="s">
        <v>56</v>
      </c>
      <c r="M171" s="0" t="s">
        <v>225</v>
      </c>
      <c r="N171" s="0" t="s">
        <v>253</v>
      </c>
      <c r="O171" s="0" t="s">
        <v>143</v>
      </c>
      <c r="P171" s="0" t="s">
        <v>226</v>
      </c>
      <c r="Q171" s="12" t="n">
        <f aca="false">VLOOKUP(E171,Conditions!$A$2:$I$13,6,FALSE())</f>
        <v>1.15</v>
      </c>
      <c r="R171" s="13" t="n">
        <f aca="false">VLOOKUP(G171,Benchmarks!$A$2:$I$9,5,FALSE())</f>
        <v>1089</v>
      </c>
      <c r="S171" s="13" t="n">
        <f aca="false">VLOOKUP(G171,Benchmarks!$A$2:$I$9,6,FALSE())</f>
        <v>4500</v>
      </c>
      <c r="T171" s="13" t="n">
        <f aca="false">R171*S171*Q171</f>
        <v>5635575</v>
      </c>
      <c r="U171" s="14" t="n">
        <f aca="false">VLOOKUP(F171,Backbones!$A$2:$G$5,6,FALSE())</f>
        <v>0.6</v>
      </c>
      <c r="V171" s="15" t="n">
        <f aca="false">T171/1000000*U171</f>
        <v>3.381345</v>
      </c>
      <c r="W171" s="11" t="s">
        <v>254</v>
      </c>
    </row>
    <row r="172" customFormat="false" ht="15" hidden="false" customHeight="false" outlineLevel="0" collapsed="false">
      <c r="A172" s="6" t="s">
        <v>256</v>
      </c>
      <c r="B172" s="6" t="s">
        <v>50</v>
      </c>
      <c r="C172" s="6" t="s">
        <v>251</v>
      </c>
      <c r="D172" s="6" t="s">
        <v>223</v>
      </c>
      <c r="E172" s="6" t="s">
        <v>252</v>
      </c>
      <c r="F172" s="6" t="s">
        <v>54</v>
      </c>
      <c r="G172" s="6" t="s">
        <v>55</v>
      </c>
      <c r="H172" s="6" t="n">
        <v>7</v>
      </c>
      <c r="I172" s="6" t="s">
        <v>56</v>
      </c>
      <c r="J172" s="6"/>
      <c r="K172" s="6"/>
      <c r="L172" s="6"/>
      <c r="M172" s="6" t="s">
        <v>225</v>
      </c>
      <c r="N172" s="6" t="s">
        <v>253</v>
      </c>
      <c r="O172" s="6" t="s">
        <v>143</v>
      </c>
      <c r="P172" s="6" t="s">
        <v>226</v>
      </c>
      <c r="Q172" s="7" t="n">
        <f aca="false">VLOOKUP(E172,Conditions!$A$2:$I$13,6,FALSE())</f>
        <v>1.15</v>
      </c>
      <c r="R172" s="8" t="n">
        <f aca="false">VLOOKUP(G172,Benchmarks!$A$2:$I$9,5,FALSE())</f>
        <v>1089</v>
      </c>
      <c r="S172" s="8" t="n">
        <f aca="false">VLOOKUP(G172,Benchmarks!$A$2:$I$9,6,FALSE())</f>
        <v>4500</v>
      </c>
      <c r="T172" s="8" t="n">
        <f aca="false">R172*S172*Q172</f>
        <v>5635575</v>
      </c>
      <c r="U172" s="9" t="n">
        <f aca="false">VLOOKUP(F172,Backbones!$A$2:$G$5,6,FALSE())</f>
        <v>0.6</v>
      </c>
      <c r="V172" s="10" t="n">
        <f aca="false">T172/1000000*U172</f>
        <v>3.381345</v>
      </c>
      <c r="W172" s="6" t="s">
        <v>254</v>
      </c>
      <c r="X172" s="6"/>
      <c r="Y172" s="6"/>
    </row>
    <row r="173" customFormat="false" ht="15" hidden="false" customHeight="false" outlineLevel="0" collapsed="false">
      <c r="A173" s="0" t="s">
        <v>257</v>
      </c>
      <c r="B173" s="11" t="s">
        <v>50</v>
      </c>
      <c r="C173" s="0" t="s">
        <v>251</v>
      </c>
      <c r="D173" s="0" t="s">
        <v>223</v>
      </c>
      <c r="E173" s="0" t="s">
        <v>252</v>
      </c>
      <c r="F173" s="0" t="s">
        <v>54</v>
      </c>
      <c r="G173" s="0" t="s">
        <v>63</v>
      </c>
      <c r="H173" s="0" t="n">
        <v>42</v>
      </c>
      <c r="I173" s="11" t="s">
        <v>56</v>
      </c>
      <c r="M173" s="0" t="s">
        <v>225</v>
      </c>
      <c r="N173" s="0" t="s">
        <v>253</v>
      </c>
      <c r="O173" s="0" t="s">
        <v>143</v>
      </c>
      <c r="P173" s="0" t="s">
        <v>226</v>
      </c>
      <c r="Q173" s="12" t="n">
        <f aca="false">VLOOKUP(E173,Conditions!$A$2:$I$13,6,FALSE())</f>
        <v>1.15</v>
      </c>
      <c r="R173" s="13" t="n">
        <f aca="false">VLOOKUP(G173,Benchmarks!$A$2:$I$9,5,FALSE())</f>
        <v>1273</v>
      </c>
      <c r="S173" s="13" t="n">
        <f aca="false">VLOOKUP(G173,Benchmarks!$A$2:$I$9,6,FALSE())</f>
        <v>5000</v>
      </c>
      <c r="T173" s="13" t="n">
        <f aca="false">R173*S173*Q173</f>
        <v>7319750</v>
      </c>
      <c r="U173" s="14" t="n">
        <f aca="false">VLOOKUP(F173,Backbones!$A$2:$G$5,6,FALSE())</f>
        <v>0.6</v>
      </c>
      <c r="V173" s="15" t="n">
        <f aca="false">T173/1000000*U173</f>
        <v>4.39185</v>
      </c>
      <c r="W173" s="11" t="s">
        <v>254</v>
      </c>
    </row>
    <row r="174" customFormat="false" ht="15" hidden="false" customHeight="false" outlineLevel="0" collapsed="false">
      <c r="A174" s="6" t="s">
        <v>258</v>
      </c>
      <c r="B174" s="6" t="s">
        <v>50</v>
      </c>
      <c r="C174" s="6" t="s">
        <v>251</v>
      </c>
      <c r="D174" s="6" t="s">
        <v>223</v>
      </c>
      <c r="E174" s="6" t="s">
        <v>252</v>
      </c>
      <c r="F174" s="6" t="s">
        <v>54</v>
      </c>
      <c r="G174" s="6" t="s">
        <v>63</v>
      </c>
      <c r="H174" s="6" t="n">
        <v>123</v>
      </c>
      <c r="I174" s="6" t="s">
        <v>56</v>
      </c>
      <c r="J174" s="6"/>
      <c r="K174" s="6"/>
      <c r="L174" s="6"/>
      <c r="M174" s="6" t="s">
        <v>225</v>
      </c>
      <c r="N174" s="6" t="s">
        <v>253</v>
      </c>
      <c r="O174" s="6" t="s">
        <v>143</v>
      </c>
      <c r="P174" s="6" t="s">
        <v>226</v>
      </c>
      <c r="Q174" s="7" t="n">
        <f aca="false">VLOOKUP(E174,Conditions!$A$2:$I$13,6,FALSE())</f>
        <v>1.15</v>
      </c>
      <c r="R174" s="8" t="n">
        <f aca="false">VLOOKUP(G174,Benchmarks!$A$2:$I$9,5,FALSE())</f>
        <v>1273</v>
      </c>
      <c r="S174" s="8" t="n">
        <f aca="false">VLOOKUP(G174,Benchmarks!$A$2:$I$9,6,FALSE())</f>
        <v>5000</v>
      </c>
      <c r="T174" s="8" t="n">
        <f aca="false">R174*S174*Q174</f>
        <v>7319750</v>
      </c>
      <c r="U174" s="9" t="n">
        <f aca="false">VLOOKUP(F174,Backbones!$A$2:$G$5,6,FALSE())</f>
        <v>0.6</v>
      </c>
      <c r="V174" s="10" t="n">
        <f aca="false">T174/1000000*U174</f>
        <v>4.39185</v>
      </c>
      <c r="W174" s="6" t="s">
        <v>254</v>
      </c>
      <c r="X174" s="6"/>
      <c r="Y174" s="6"/>
    </row>
    <row r="175" customFormat="false" ht="15" hidden="false" customHeight="false" outlineLevel="0" collapsed="false">
      <c r="A175" s="0" t="s">
        <v>259</v>
      </c>
      <c r="B175" s="11" t="s">
        <v>50</v>
      </c>
      <c r="C175" s="0" t="s">
        <v>251</v>
      </c>
      <c r="D175" s="0" t="s">
        <v>223</v>
      </c>
      <c r="E175" s="0" t="s">
        <v>252</v>
      </c>
      <c r="F175" s="0" t="s">
        <v>54</v>
      </c>
      <c r="G175" s="0" t="s">
        <v>63</v>
      </c>
      <c r="H175" s="0" t="n">
        <v>7</v>
      </c>
      <c r="I175" s="11" t="s">
        <v>56</v>
      </c>
      <c r="M175" s="0" t="s">
        <v>225</v>
      </c>
      <c r="N175" s="0" t="s">
        <v>253</v>
      </c>
      <c r="O175" s="0" t="s">
        <v>143</v>
      </c>
      <c r="P175" s="0" t="s">
        <v>226</v>
      </c>
      <c r="Q175" s="12" t="n">
        <f aca="false">VLOOKUP(E175,Conditions!$A$2:$I$13,6,FALSE())</f>
        <v>1.15</v>
      </c>
      <c r="R175" s="13" t="n">
        <f aca="false">VLOOKUP(G175,Benchmarks!$A$2:$I$9,5,FALSE())</f>
        <v>1273</v>
      </c>
      <c r="S175" s="13" t="n">
        <f aca="false">VLOOKUP(G175,Benchmarks!$A$2:$I$9,6,FALSE())</f>
        <v>5000</v>
      </c>
      <c r="T175" s="13" t="n">
        <f aca="false">R175*S175*Q175</f>
        <v>7319750</v>
      </c>
      <c r="U175" s="14" t="n">
        <f aca="false">VLOOKUP(F175,Backbones!$A$2:$G$5,6,FALSE())</f>
        <v>0.6</v>
      </c>
      <c r="V175" s="15" t="n">
        <f aca="false">T175/1000000*U175</f>
        <v>4.39185</v>
      </c>
      <c r="W175" s="11" t="s">
        <v>254</v>
      </c>
    </row>
    <row r="176" customFormat="false" ht="15" hidden="false" customHeight="false" outlineLevel="0" collapsed="false">
      <c r="A176" s="6" t="s">
        <v>260</v>
      </c>
      <c r="B176" s="6" t="s">
        <v>50</v>
      </c>
      <c r="C176" s="6" t="s">
        <v>251</v>
      </c>
      <c r="D176" s="6" t="s">
        <v>223</v>
      </c>
      <c r="E176" s="6" t="s">
        <v>252</v>
      </c>
      <c r="F176" s="6" t="s">
        <v>54</v>
      </c>
      <c r="G176" s="6" t="s">
        <v>67</v>
      </c>
      <c r="H176" s="6" t="n">
        <v>42</v>
      </c>
      <c r="I176" s="6" t="s">
        <v>56</v>
      </c>
      <c r="J176" s="6"/>
      <c r="K176" s="6"/>
      <c r="L176" s="6"/>
      <c r="M176" s="6" t="s">
        <v>225</v>
      </c>
      <c r="N176" s="6" t="s">
        <v>253</v>
      </c>
      <c r="O176" s="6" t="s">
        <v>143</v>
      </c>
      <c r="P176" s="6" t="s">
        <v>226</v>
      </c>
      <c r="Q176" s="7" t="n">
        <f aca="false">VLOOKUP(E176,Conditions!$A$2:$I$13,6,FALSE())</f>
        <v>1.15</v>
      </c>
      <c r="R176" s="8" t="n">
        <f aca="false">VLOOKUP(G176,Benchmarks!$A$2:$I$9,5,FALSE())</f>
        <v>4183</v>
      </c>
      <c r="S176" s="8" t="n">
        <f aca="false">VLOOKUP(G176,Benchmarks!$A$2:$I$9,6,FALSE())</f>
        <v>4500</v>
      </c>
      <c r="T176" s="8" t="n">
        <f aca="false">R176*S176*Q176</f>
        <v>21647025</v>
      </c>
      <c r="U176" s="9" t="n">
        <f aca="false">VLOOKUP(F176,Backbones!$A$2:$G$5,6,FALSE())</f>
        <v>0.6</v>
      </c>
      <c r="V176" s="10" t="n">
        <f aca="false">T176/1000000*U176</f>
        <v>12.988215</v>
      </c>
      <c r="W176" s="6" t="s">
        <v>254</v>
      </c>
      <c r="X176" s="6"/>
      <c r="Y176" s="6"/>
    </row>
    <row r="177" customFormat="false" ht="15" hidden="false" customHeight="false" outlineLevel="0" collapsed="false">
      <c r="A177" s="0" t="s">
        <v>261</v>
      </c>
      <c r="B177" s="11" t="s">
        <v>50</v>
      </c>
      <c r="C177" s="0" t="s">
        <v>251</v>
      </c>
      <c r="D177" s="0" t="s">
        <v>223</v>
      </c>
      <c r="E177" s="0" t="s">
        <v>252</v>
      </c>
      <c r="F177" s="0" t="s">
        <v>54</v>
      </c>
      <c r="G177" s="0" t="s">
        <v>67</v>
      </c>
      <c r="H177" s="0" t="n">
        <v>123</v>
      </c>
      <c r="I177" s="11" t="s">
        <v>56</v>
      </c>
      <c r="M177" s="0" t="s">
        <v>225</v>
      </c>
      <c r="N177" s="0" t="s">
        <v>253</v>
      </c>
      <c r="O177" s="0" t="s">
        <v>143</v>
      </c>
      <c r="P177" s="0" t="s">
        <v>226</v>
      </c>
      <c r="Q177" s="12" t="n">
        <f aca="false">VLOOKUP(E177,Conditions!$A$2:$I$13,6,FALSE())</f>
        <v>1.15</v>
      </c>
      <c r="R177" s="13" t="n">
        <f aca="false">VLOOKUP(G177,Benchmarks!$A$2:$I$9,5,FALSE())</f>
        <v>4183</v>
      </c>
      <c r="S177" s="13" t="n">
        <f aca="false">VLOOKUP(G177,Benchmarks!$A$2:$I$9,6,FALSE())</f>
        <v>4500</v>
      </c>
      <c r="T177" s="13" t="n">
        <f aca="false">R177*S177*Q177</f>
        <v>21647025</v>
      </c>
      <c r="U177" s="14" t="n">
        <f aca="false">VLOOKUP(F177,Backbones!$A$2:$G$5,6,FALSE())</f>
        <v>0.6</v>
      </c>
      <c r="V177" s="15" t="n">
        <f aca="false">T177/1000000*U177</f>
        <v>12.988215</v>
      </c>
      <c r="W177" s="11" t="s">
        <v>254</v>
      </c>
    </row>
    <row r="178" customFormat="false" ht="15" hidden="false" customHeight="false" outlineLevel="0" collapsed="false">
      <c r="A178" s="6" t="s">
        <v>262</v>
      </c>
      <c r="B178" s="6" t="s">
        <v>50</v>
      </c>
      <c r="C178" s="6" t="s">
        <v>251</v>
      </c>
      <c r="D178" s="6" t="s">
        <v>223</v>
      </c>
      <c r="E178" s="6" t="s">
        <v>252</v>
      </c>
      <c r="F178" s="6" t="s">
        <v>54</v>
      </c>
      <c r="G178" s="6" t="s">
        <v>67</v>
      </c>
      <c r="H178" s="6" t="n">
        <v>7</v>
      </c>
      <c r="I178" s="6" t="s">
        <v>56</v>
      </c>
      <c r="J178" s="6"/>
      <c r="K178" s="6"/>
      <c r="L178" s="6"/>
      <c r="M178" s="6" t="s">
        <v>225</v>
      </c>
      <c r="N178" s="6" t="s">
        <v>253</v>
      </c>
      <c r="O178" s="6" t="s">
        <v>143</v>
      </c>
      <c r="P178" s="6" t="s">
        <v>226</v>
      </c>
      <c r="Q178" s="7" t="n">
        <f aca="false">VLOOKUP(E178,Conditions!$A$2:$I$13,6,FALSE())</f>
        <v>1.15</v>
      </c>
      <c r="R178" s="8" t="n">
        <f aca="false">VLOOKUP(G178,Benchmarks!$A$2:$I$9,5,FALSE())</f>
        <v>4183</v>
      </c>
      <c r="S178" s="8" t="n">
        <f aca="false">VLOOKUP(G178,Benchmarks!$A$2:$I$9,6,FALSE())</f>
        <v>4500</v>
      </c>
      <c r="T178" s="8" t="n">
        <f aca="false">R178*S178*Q178</f>
        <v>21647025</v>
      </c>
      <c r="U178" s="9" t="n">
        <f aca="false">VLOOKUP(F178,Backbones!$A$2:$G$5,6,FALSE())</f>
        <v>0.6</v>
      </c>
      <c r="V178" s="10" t="n">
        <f aca="false">T178/1000000*U178</f>
        <v>12.988215</v>
      </c>
      <c r="W178" s="6" t="s">
        <v>254</v>
      </c>
      <c r="X178" s="6"/>
      <c r="Y178" s="6"/>
    </row>
    <row r="179" customFormat="false" ht="15" hidden="false" customHeight="false" outlineLevel="0" collapsed="false">
      <c r="A179" s="0" t="s">
        <v>263</v>
      </c>
      <c r="B179" s="11" t="s">
        <v>50</v>
      </c>
      <c r="C179" s="0" t="s">
        <v>251</v>
      </c>
      <c r="D179" s="0" t="s">
        <v>223</v>
      </c>
      <c r="E179" s="0" t="s">
        <v>252</v>
      </c>
      <c r="F179" s="0" t="s">
        <v>54</v>
      </c>
      <c r="G179" s="0" t="s">
        <v>71</v>
      </c>
      <c r="H179" s="0" t="n">
        <v>42</v>
      </c>
      <c r="I179" s="11" t="s">
        <v>56</v>
      </c>
      <c r="M179" s="0" t="s">
        <v>225</v>
      </c>
      <c r="N179" s="0" t="s">
        <v>253</v>
      </c>
      <c r="O179" s="0" t="s">
        <v>143</v>
      </c>
      <c r="P179" s="0" t="s">
        <v>226</v>
      </c>
      <c r="Q179" s="12" t="n">
        <f aca="false">VLOOKUP(E179,Conditions!$A$2:$I$13,6,FALSE())</f>
        <v>1.15</v>
      </c>
      <c r="R179" s="13" t="n">
        <f aca="false">VLOOKUP(G179,Benchmarks!$A$2:$I$9,5,FALSE())</f>
        <v>500</v>
      </c>
      <c r="S179" s="13" t="n">
        <f aca="false">VLOOKUP(G179,Benchmarks!$A$2:$I$9,6,FALSE())</f>
        <v>5500</v>
      </c>
      <c r="T179" s="13" t="n">
        <f aca="false">R179*S179*Q179</f>
        <v>3162500</v>
      </c>
      <c r="U179" s="14" t="n">
        <f aca="false">VLOOKUP(F179,Backbones!$A$2:$G$5,6,FALSE())</f>
        <v>0.6</v>
      </c>
      <c r="V179" s="15" t="n">
        <f aca="false">T179/1000000*U179</f>
        <v>1.8975</v>
      </c>
      <c r="W179" s="11" t="s">
        <v>254</v>
      </c>
    </row>
    <row r="180" customFormat="false" ht="15" hidden="false" customHeight="false" outlineLevel="0" collapsed="false">
      <c r="A180" s="6" t="s">
        <v>264</v>
      </c>
      <c r="B180" s="6" t="s">
        <v>50</v>
      </c>
      <c r="C180" s="6" t="s">
        <v>251</v>
      </c>
      <c r="D180" s="6" t="s">
        <v>223</v>
      </c>
      <c r="E180" s="6" t="s">
        <v>252</v>
      </c>
      <c r="F180" s="6" t="s">
        <v>54</v>
      </c>
      <c r="G180" s="6" t="s">
        <v>71</v>
      </c>
      <c r="H180" s="6" t="n">
        <v>123</v>
      </c>
      <c r="I180" s="6" t="s">
        <v>56</v>
      </c>
      <c r="J180" s="6"/>
      <c r="K180" s="6"/>
      <c r="L180" s="6"/>
      <c r="M180" s="6" t="s">
        <v>225</v>
      </c>
      <c r="N180" s="6" t="s">
        <v>253</v>
      </c>
      <c r="O180" s="6" t="s">
        <v>143</v>
      </c>
      <c r="P180" s="6" t="s">
        <v>226</v>
      </c>
      <c r="Q180" s="7" t="n">
        <f aca="false">VLOOKUP(E180,Conditions!$A$2:$I$13,6,FALSE())</f>
        <v>1.15</v>
      </c>
      <c r="R180" s="8" t="n">
        <f aca="false">VLOOKUP(G180,Benchmarks!$A$2:$I$9,5,FALSE())</f>
        <v>500</v>
      </c>
      <c r="S180" s="8" t="n">
        <f aca="false">VLOOKUP(G180,Benchmarks!$A$2:$I$9,6,FALSE())</f>
        <v>5500</v>
      </c>
      <c r="T180" s="8" t="n">
        <f aca="false">R180*S180*Q180</f>
        <v>3162500</v>
      </c>
      <c r="U180" s="9" t="n">
        <f aca="false">VLOOKUP(F180,Backbones!$A$2:$G$5,6,FALSE())</f>
        <v>0.6</v>
      </c>
      <c r="V180" s="10" t="n">
        <f aca="false">T180/1000000*U180</f>
        <v>1.8975</v>
      </c>
      <c r="W180" s="6" t="s">
        <v>254</v>
      </c>
      <c r="X180" s="6"/>
      <c r="Y180" s="6"/>
    </row>
    <row r="181" customFormat="false" ht="15" hidden="false" customHeight="false" outlineLevel="0" collapsed="false">
      <c r="A181" s="0" t="s">
        <v>265</v>
      </c>
      <c r="B181" s="11" t="s">
        <v>50</v>
      </c>
      <c r="C181" s="0" t="s">
        <v>251</v>
      </c>
      <c r="D181" s="0" t="s">
        <v>223</v>
      </c>
      <c r="E181" s="0" t="s">
        <v>252</v>
      </c>
      <c r="F181" s="0" t="s">
        <v>54</v>
      </c>
      <c r="G181" s="0" t="s">
        <v>71</v>
      </c>
      <c r="H181" s="0" t="n">
        <v>7</v>
      </c>
      <c r="I181" s="11" t="s">
        <v>56</v>
      </c>
      <c r="M181" s="0" t="s">
        <v>225</v>
      </c>
      <c r="N181" s="0" t="s">
        <v>253</v>
      </c>
      <c r="O181" s="0" t="s">
        <v>143</v>
      </c>
      <c r="P181" s="0" t="s">
        <v>226</v>
      </c>
      <c r="Q181" s="12" t="n">
        <f aca="false">VLOOKUP(E181,Conditions!$A$2:$I$13,6,FALSE())</f>
        <v>1.15</v>
      </c>
      <c r="R181" s="13" t="n">
        <f aca="false">VLOOKUP(G181,Benchmarks!$A$2:$I$9,5,FALSE())</f>
        <v>500</v>
      </c>
      <c r="S181" s="13" t="n">
        <f aca="false">VLOOKUP(G181,Benchmarks!$A$2:$I$9,6,FALSE())</f>
        <v>5500</v>
      </c>
      <c r="T181" s="13" t="n">
        <f aca="false">R181*S181*Q181</f>
        <v>3162500</v>
      </c>
      <c r="U181" s="14" t="n">
        <f aca="false">VLOOKUP(F181,Backbones!$A$2:$G$5,6,FALSE())</f>
        <v>0.6</v>
      </c>
      <c r="V181" s="15" t="n">
        <f aca="false">T181/1000000*U181</f>
        <v>1.8975</v>
      </c>
      <c r="W181" s="11" t="s">
        <v>254</v>
      </c>
    </row>
    <row r="182" customFormat="false" ht="15" hidden="false" customHeight="false" outlineLevel="0" collapsed="false">
      <c r="A182" s="6" t="s">
        <v>266</v>
      </c>
      <c r="B182" s="6" t="s">
        <v>50</v>
      </c>
      <c r="C182" s="6" t="s">
        <v>251</v>
      </c>
      <c r="D182" s="6" t="s">
        <v>223</v>
      </c>
      <c r="E182" s="6" t="s">
        <v>252</v>
      </c>
      <c r="F182" s="6" t="s">
        <v>54</v>
      </c>
      <c r="G182" s="6" t="s">
        <v>75</v>
      </c>
      <c r="H182" s="6" t="n">
        <v>42</v>
      </c>
      <c r="I182" s="6" t="s">
        <v>56</v>
      </c>
      <c r="J182" s="6"/>
      <c r="K182" s="6"/>
      <c r="L182" s="6"/>
      <c r="M182" s="6" t="s">
        <v>225</v>
      </c>
      <c r="N182" s="6" t="s">
        <v>253</v>
      </c>
      <c r="O182" s="6" t="s">
        <v>143</v>
      </c>
      <c r="P182" s="6" t="s">
        <v>226</v>
      </c>
      <c r="Q182" s="7" t="n">
        <f aca="false">VLOOKUP(E182,Conditions!$A$2:$I$13,6,FALSE())</f>
        <v>1.15</v>
      </c>
      <c r="R182" s="8" t="n">
        <f aca="false">VLOOKUP(G182,Benchmarks!$A$2:$I$9,5,FALSE())</f>
        <v>618</v>
      </c>
      <c r="S182" s="8" t="n">
        <f aca="false">VLOOKUP(G182,Benchmarks!$A$2:$I$9,6,FALSE())</f>
        <v>5000</v>
      </c>
      <c r="T182" s="8" t="n">
        <f aca="false">R182*S182*Q182</f>
        <v>3553500</v>
      </c>
      <c r="U182" s="9" t="n">
        <f aca="false">VLOOKUP(F182,Backbones!$A$2:$G$5,6,FALSE())</f>
        <v>0.6</v>
      </c>
      <c r="V182" s="10" t="n">
        <f aca="false">T182/1000000*U182</f>
        <v>2.1321</v>
      </c>
      <c r="W182" s="6" t="s">
        <v>254</v>
      </c>
      <c r="X182" s="6"/>
      <c r="Y182" s="6"/>
    </row>
    <row r="183" customFormat="false" ht="15" hidden="false" customHeight="false" outlineLevel="0" collapsed="false">
      <c r="A183" s="0" t="s">
        <v>267</v>
      </c>
      <c r="B183" s="11" t="s">
        <v>50</v>
      </c>
      <c r="C183" s="0" t="s">
        <v>251</v>
      </c>
      <c r="D183" s="0" t="s">
        <v>223</v>
      </c>
      <c r="E183" s="0" t="s">
        <v>252</v>
      </c>
      <c r="F183" s="0" t="s">
        <v>54</v>
      </c>
      <c r="G183" s="0" t="s">
        <v>75</v>
      </c>
      <c r="H183" s="0" t="n">
        <v>123</v>
      </c>
      <c r="I183" s="11" t="s">
        <v>56</v>
      </c>
      <c r="M183" s="0" t="s">
        <v>225</v>
      </c>
      <c r="N183" s="0" t="s">
        <v>253</v>
      </c>
      <c r="O183" s="0" t="s">
        <v>143</v>
      </c>
      <c r="P183" s="0" t="s">
        <v>226</v>
      </c>
      <c r="Q183" s="12" t="n">
        <f aca="false">VLOOKUP(E183,Conditions!$A$2:$I$13,6,FALSE())</f>
        <v>1.15</v>
      </c>
      <c r="R183" s="13" t="n">
        <f aca="false">VLOOKUP(G183,Benchmarks!$A$2:$I$9,5,FALSE())</f>
        <v>618</v>
      </c>
      <c r="S183" s="13" t="n">
        <f aca="false">VLOOKUP(G183,Benchmarks!$A$2:$I$9,6,FALSE())</f>
        <v>5000</v>
      </c>
      <c r="T183" s="13" t="n">
        <f aca="false">R183*S183*Q183</f>
        <v>3553500</v>
      </c>
      <c r="U183" s="14" t="n">
        <f aca="false">VLOOKUP(F183,Backbones!$A$2:$G$5,6,FALSE())</f>
        <v>0.6</v>
      </c>
      <c r="V183" s="15" t="n">
        <f aca="false">T183/1000000*U183</f>
        <v>2.1321</v>
      </c>
      <c r="W183" s="11" t="s">
        <v>254</v>
      </c>
    </row>
    <row r="184" customFormat="false" ht="15" hidden="false" customHeight="false" outlineLevel="0" collapsed="false">
      <c r="A184" s="6" t="s">
        <v>268</v>
      </c>
      <c r="B184" s="6" t="s">
        <v>50</v>
      </c>
      <c r="C184" s="6" t="s">
        <v>251</v>
      </c>
      <c r="D184" s="6" t="s">
        <v>223</v>
      </c>
      <c r="E184" s="6" t="s">
        <v>252</v>
      </c>
      <c r="F184" s="6" t="s">
        <v>54</v>
      </c>
      <c r="G184" s="6" t="s">
        <v>75</v>
      </c>
      <c r="H184" s="6" t="n">
        <v>7</v>
      </c>
      <c r="I184" s="6" t="s">
        <v>56</v>
      </c>
      <c r="J184" s="6"/>
      <c r="K184" s="6"/>
      <c r="L184" s="6"/>
      <c r="M184" s="6" t="s">
        <v>225</v>
      </c>
      <c r="N184" s="6" t="s">
        <v>253</v>
      </c>
      <c r="O184" s="6" t="s">
        <v>143</v>
      </c>
      <c r="P184" s="6" t="s">
        <v>226</v>
      </c>
      <c r="Q184" s="7" t="n">
        <f aca="false">VLOOKUP(E184,Conditions!$A$2:$I$13,6,FALSE())</f>
        <v>1.15</v>
      </c>
      <c r="R184" s="8" t="n">
        <f aca="false">VLOOKUP(G184,Benchmarks!$A$2:$I$9,5,FALSE())</f>
        <v>618</v>
      </c>
      <c r="S184" s="8" t="n">
        <f aca="false">VLOOKUP(G184,Benchmarks!$A$2:$I$9,6,FALSE())</f>
        <v>5000</v>
      </c>
      <c r="T184" s="8" t="n">
        <f aca="false">R184*S184*Q184</f>
        <v>3553500</v>
      </c>
      <c r="U184" s="9" t="n">
        <f aca="false">VLOOKUP(F184,Backbones!$A$2:$G$5,6,FALSE())</f>
        <v>0.6</v>
      </c>
      <c r="V184" s="10" t="n">
        <f aca="false">T184/1000000*U184</f>
        <v>2.1321</v>
      </c>
      <c r="W184" s="6" t="s">
        <v>254</v>
      </c>
      <c r="X184" s="6"/>
      <c r="Y184" s="6"/>
    </row>
    <row r="185" customFormat="false" ht="15" hidden="false" customHeight="false" outlineLevel="0" collapsed="false">
      <c r="A185" s="0" t="s">
        <v>269</v>
      </c>
      <c r="B185" s="11" t="s">
        <v>50</v>
      </c>
      <c r="C185" s="0" t="s">
        <v>251</v>
      </c>
      <c r="D185" s="0" t="s">
        <v>223</v>
      </c>
      <c r="E185" s="0" t="s">
        <v>252</v>
      </c>
      <c r="F185" s="0" t="s">
        <v>54</v>
      </c>
      <c r="G185" s="0" t="s">
        <v>79</v>
      </c>
      <c r="H185" s="0" t="n">
        <v>42</v>
      </c>
      <c r="I185" s="11" t="s">
        <v>56</v>
      </c>
      <c r="M185" s="0" t="s">
        <v>225</v>
      </c>
      <c r="N185" s="0" t="s">
        <v>253</v>
      </c>
      <c r="O185" s="0" t="s">
        <v>143</v>
      </c>
      <c r="P185" s="0" t="s">
        <v>226</v>
      </c>
      <c r="Q185" s="12" t="n">
        <f aca="false">VLOOKUP(E185,Conditions!$A$2:$I$13,6,FALSE())</f>
        <v>1.15</v>
      </c>
      <c r="R185" s="13" t="n">
        <f aca="false">VLOOKUP(G185,Benchmarks!$A$2:$I$9,5,FALSE())</f>
        <v>50</v>
      </c>
      <c r="S185" s="13" t="n">
        <f aca="false">VLOOKUP(G185,Benchmarks!$A$2:$I$9,6,FALSE())</f>
        <v>8000</v>
      </c>
      <c r="T185" s="13" t="n">
        <f aca="false">R185*S185*Q185</f>
        <v>460000</v>
      </c>
      <c r="U185" s="14" t="n">
        <f aca="false">VLOOKUP(F185,Backbones!$A$2:$G$5,6,FALSE())</f>
        <v>0.6</v>
      </c>
      <c r="V185" s="15" t="n">
        <f aca="false">T185/1000000*U185</f>
        <v>0.276</v>
      </c>
      <c r="W185" s="11" t="s">
        <v>254</v>
      </c>
    </row>
    <row r="186" customFormat="false" ht="15" hidden="false" customHeight="false" outlineLevel="0" collapsed="false">
      <c r="A186" s="6" t="s">
        <v>270</v>
      </c>
      <c r="B186" s="6" t="s">
        <v>50</v>
      </c>
      <c r="C186" s="6" t="s">
        <v>251</v>
      </c>
      <c r="D186" s="6" t="s">
        <v>223</v>
      </c>
      <c r="E186" s="6" t="s">
        <v>252</v>
      </c>
      <c r="F186" s="6" t="s">
        <v>54</v>
      </c>
      <c r="G186" s="6" t="s">
        <v>79</v>
      </c>
      <c r="H186" s="6" t="n">
        <v>123</v>
      </c>
      <c r="I186" s="6" t="s">
        <v>56</v>
      </c>
      <c r="J186" s="6"/>
      <c r="K186" s="6"/>
      <c r="L186" s="6"/>
      <c r="M186" s="6" t="s">
        <v>225</v>
      </c>
      <c r="N186" s="6" t="s">
        <v>253</v>
      </c>
      <c r="O186" s="6" t="s">
        <v>143</v>
      </c>
      <c r="P186" s="6" t="s">
        <v>226</v>
      </c>
      <c r="Q186" s="7" t="n">
        <f aca="false">VLOOKUP(E186,Conditions!$A$2:$I$13,6,FALSE())</f>
        <v>1.15</v>
      </c>
      <c r="R186" s="8" t="n">
        <f aca="false">VLOOKUP(G186,Benchmarks!$A$2:$I$9,5,FALSE())</f>
        <v>50</v>
      </c>
      <c r="S186" s="8" t="n">
        <f aca="false">VLOOKUP(G186,Benchmarks!$A$2:$I$9,6,FALSE())</f>
        <v>8000</v>
      </c>
      <c r="T186" s="8" t="n">
        <f aca="false">R186*S186*Q186</f>
        <v>460000</v>
      </c>
      <c r="U186" s="9" t="n">
        <f aca="false">VLOOKUP(F186,Backbones!$A$2:$G$5,6,FALSE())</f>
        <v>0.6</v>
      </c>
      <c r="V186" s="10" t="n">
        <f aca="false">T186/1000000*U186</f>
        <v>0.276</v>
      </c>
      <c r="W186" s="6" t="s">
        <v>254</v>
      </c>
      <c r="X186" s="6"/>
      <c r="Y186" s="6"/>
    </row>
    <row r="187" customFormat="false" ht="15" hidden="false" customHeight="false" outlineLevel="0" collapsed="false">
      <c r="A187" s="0" t="s">
        <v>271</v>
      </c>
      <c r="B187" s="11" t="s">
        <v>50</v>
      </c>
      <c r="C187" s="0" t="s">
        <v>251</v>
      </c>
      <c r="D187" s="0" t="s">
        <v>223</v>
      </c>
      <c r="E187" s="0" t="s">
        <v>252</v>
      </c>
      <c r="F187" s="0" t="s">
        <v>54</v>
      </c>
      <c r="G187" s="0" t="s">
        <v>79</v>
      </c>
      <c r="H187" s="0" t="n">
        <v>7</v>
      </c>
      <c r="I187" s="11" t="s">
        <v>56</v>
      </c>
      <c r="M187" s="0" t="s">
        <v>225</v>
      </c>
      <c r="N187" s="0" t="s">
        <v>253</v>
      </c>
      <c r="O187" s="0" t="s">
        <v>143</v>
      </c>
      <c r="P187" s="0" t="s">
        <v>226</v>
      </c>
      <c r="Q187" s="12" t="n">
        <f aca="false">VLOOKUP(E187,Conditions!$A$2:$I$13,6,FALSE())</f>
        <v>1.15</v>
      </c>
      <c r="R187" s="13" t="n">
        <f aca="false">VLOOKUP(G187,Benchmarks!$A$2:$I$9,5,FALSE())</f>
        <v>50</v>
      </c>
      <c r="S187" s="13" t="n">
        <f aca="false">VLOOKUP(G187,Benchmarks!$A$2:$I$9,6,FALSE())</f>
        <v>8000</v>
      </c>
      <c r="T187" s="13" t="n">
        <f aca="false">R187*S187*Q187</f>
        <v>460000</v>
      </c>
      <c r="U187" s="14" t="n">
        <f aca="false">VLOOKUP(F187,Backbones!$A$2:$G$5,6,FALSE())</f>
        <v>0.6</v>
      </c>
      <c r="V187" s="15" t="n">
        <f aca="false">T187/1000000*U187</f>
        <v>0.276</v>
      </c>
      <c r="W187" s="11" t="s">
        <v>254</v>
      </c>
    </row>
    <row r="188" customFormat="false" ht="15" hidden="false" customHeight="false" outlineLevel="0" collapsed="false">
      <c r="A188" s="6" t="s">
        <v>272</v>
      </c>
      <c r="B188" s="6" t="s">
        <v>50</v>
      </c>
      <c r="C188" s="6" t="s">
        <v>251</v>
      </c>
      <c r="D188" s="6" t="s">
        <v>223</v>
      </c>
      <c r="E188" s="6" t="s">
        <v>252</v>
      </c>
      <c r="F188" s="6" t="s">
        <v>54</v>
      </c>
      <c r="G188" s="6" t="s">
        <v>83</v>
      </c>
      <c r="H188" s="6" t="n">
        <v>42</v>
      </c>
      <c r="I188" s="6" t="s">
        <v>56</v>
      </c>
      <c r="J188" s="6"/>
      <c r="K188" s="6"/>
      <c r="L188" s="6"/>
      <c r="M188" s="6" t="s">
        <v>225</v>
      </c>
      <c r="N188" s="6" t="s">
        <v>253</v>
      </c>
      <c r="O188" s="6" t="s">
        <v>143</v>
      </c>
      <c r="P188" s="6" t="s">
        <v>226</v>
      </c>
      <c r="Q188" s="7" t="n">
        <f aca="false">VLOOKUP(E188,Conditions!$A$2:$I$13,6,FALSE())</f>
        <v>1.15</v>
      </c>
      <c r="R188" s="8" t="n">
        <f aca="false">VLOOKUP(G188,Benchmarks!$A$2:$I$9,5,FALSE())</f>
        <v>200</v>
      </c>
      <c r="S188" s="8" t="n">
        <f aca="false">VLOOKUP(G188,Benchmarks!$A$2:$I$9,6,FALSE())</f>
        <v>8000</v>
      </c>
      <c r="T188" s="8" t="n">
        <f aca="false">R188*S188*Q188</f>
        <v>1840000</v>
      </c>
      <c r="U188" s="9" t="n">
        <f aca="false">VLOOKUP(F188,Backbones!$A$2:$G$5,6,FALSE())</f>
        <v>0.6</v>
      </c>
      <c r="V188" s="10" t="n">
        <f aca="false">T188/1000000*U188</f>
        <v>1.104</v>
      </c>
      <c r="W188" s="6" t="s">
        <v>254</v>
      </c>
      <c r="X188" s="6"/>
      <c r="Y188" s="6"/>
    </row>
    <row r="189" customFormat="false" ht="15" hidden="false" customHeight="false" outlineLevel="0" collapsed="false">
      <c r="A189" s="0" t="s">
        <v>273</v>
      </c>
      <c r="B189" s="11" t="s">
        <v>50</v>
      </c>
      <c r="C189" s="0" t="s">
        <v>251</v>
      </c>
      <c r="D189" s="0" t="s">
        <v>223</v>
      </c>
      <c r="E189" s="0" t="s">
        <v>252</v>
      </c>
      <c r="F189" s="0" t="s">
        <v>54</v>
      </c>
      <c r="G189" s="0" t="s">
        <v>83</v>
      </c>
      <c r="H189" s="0" t="n">
        <v>123</v>
      </c>
      <c r="I189" s="11" t="s">
        <v>56</v>
      </c>
      <c r="M189" s="0" t="s">
        <v>225</v>
      </c>
      <c r="N189" s="0" t="s">
        <v>253</v>
      </c>
      <c r="O189" s="0" t="s">
        <v>143</v>
      </c>
      <c r="P189" s="0" t="s">
        <v>226</v>
      </c>
      <c r="Q189" s="12" t="n">
        <f aca="false">VLOOKUP(E189,Conditions!$A$2:$I$13,6,FALSE())</f>
        <v>1.15</v>
      </c>
      <c r="R189" s="13" t="n">
        <f aca="false">VLOOKUP(G189,Benchmarks!$A$2:$I$9,5,FALSE())</f>
        <v>200</v>
      </c>
      <c r="S189" s="13" t="n">
        <f aca="false">VLOOKUP(G189,Benchmarks!$A$2:$I$9,6,FALSE())</f>
        <v>8000</v>
      </c>
      <c r="T189" s="13" t="n">
        <f aca="false">R189*S189*Q189</f>
        <v>1840000</v>
      </c>
      <c r="U189" s="14" t="n">
        <f aca="false">VLOOKUP(F189,Backbones!$A$2:$G$5,6,FALSE())</f>
        <v>0.6</v>
      </c>
      <c r="V189" s="15" t="n">
        <f aca="false">T189/1000000*U189</f>
        <v>1.104</v>
      </c>
      <c r="W189" s="11" t="s">
        <v>254</v>
      </c>
    </row>
    <row r="190" customFormat="false" ht="15" hidden="false" customHeight="false" outlineLevel="0" collapsed="false">
      <c r="A190" s="6" t="s">
        <v>274</v>
      </c>
      <c r="B190" s="6" t="s">
        <v>50</v>
      </c>
      <c r="C190" s="6" t="s">
        <v>251</v>
      </c>
      <c r="D190" s="6" t="s">
        <v>223</v>
      </c>
      <c r="E190" s="6" t="s">
        <v>252</v>
      </c>
      <c r="F190" s="6" t="s">
        <v>54</v>
      </c>
      <c r="G190" s="6" t="s">
        <v>83</v>
      </c>
      <c r="H190" s="6" t="n">
        <v>7</v>
      </c>
      <c r="I190" s="6" t="s">
        <v>56</v>
      </c>
      <c r="J190" s="6"/>
      <c r="K190" s="6"/>
      <c r="L190" s="6"/>
      <c r="M190" s="6" t="s">
        <v>225</v>
      </c>
      <c r="N190" s="6" t="s">
        <v>253</v>
      </c>
      <c r="O190" s="6" t="s">
        <v>143</v>
      </c>
      <c r="P190" s="6" t="s">
        <v>226</v>
      </c>
      <c r="Q190" s="7" t="n">
        <f aca="false">VLOOKUP(E190,Conditions!$A$2:$I$13,6,FALSE())</f>
        <v>1.15</v>
      </c>
      <c r="R190" s="8" t="n">
        <f aca="false">VLOOKUP(G190,Benchmarks!$A$2:$I$9,5,FALSE())</f>
        <v>200</v>
      </c>
      <c r="S190" s="8" t="n">
        <f aca="false">VLOOKUP(G190,Benchmarks!$A$2:$I$9,6,FALSE())</f>
        <v>8000</v>
      </c>
      <c r="T190" s="8" t="n">
        <f aca="false">R190*S190*Q190</f>
        <v>1840000</v>
      </c>
      <c r="U190" s="9" t="n">
        <f aca="false">VLOOKUP(F190,Backbones!$A$2:$G$5,6,FALSE())</f>
        <v>0.6</v>
      </c>
      <c r="V190" s="10" t="n">
        <f aca="false">T190/1000000*U190</f>
        <v>1.104</v>
      </c>
      <c r="W190" s="6" t="s">
        <v>254</v>
      </c>
      <c r="X190" s="6"/>
      <c r="Y190" s="6"/>
    </row>
    <row r="191" customFormat="false" ht="15" hidden="false" customHeight="false" outlineLevel="0" collapsed="false">
      <c r="A191" s="0" t="s">
        <v>275</v>
      </c>
      <c r="B191" s="11" t="s">
        <v>50</v>
      </c>
      <c r="C191" s="0" t="s">
        <v>251</v>
      </c>
      <c r="D191" s="0" t="s">
        <v>223</v>
      </c>
      <c r="E191" s="0" t="s">
        <v>252</v>
      </c>
      <c r="F191" s="0" t="s">
        <v>54</v>
      </c>
      <c r="G191" s="0" t="s">
        <v>87</v>
      </c>
      <c r="H191" s="0" t="n">
        <v>42</v>
      </c>
      <c r="I191" s="11" t="s">
        <v>56</v>
      </c>
      <c r="M191" s="0" t="s">
        <v>225</v>
      </c>
      <c r="N191" s="0" t="s">
        <v>253</v>
      </c>
      <c r="O191" s="0" t="s">
        <v>143</v>
      </c>
      <c r="P191" s="0" t="s">
        <v>226</v>
      </c>
      <c r="Q191" s="12" t="n">
        <f aca="false">VLOOKUP(E191,Conditions!$A$2:$I$13,6,FALSE())</f>
        <v>1.15</v>
      </c>
      <c r="R191" s="13" t="n">
        <f aca="false">VLOOKUP(G191,Benchmarks!$A$2:$I$9,5,FALSE())</f>
        <v>150</v>
      </c>
      <c r="S191" s="13" t="n">
        <f aca="false">VLOOKUP(G191,Benchmarks!$A$2:$I$9,6,FALSE())</f>
        <v>6000</v>
      </c>
      <c r="T191" s="13" t="n">
        <f aca="false">R191*S191*Q191</f>
        <v>1035000</v>
      </c>
      <c r="U191" s="14" t="n">
        <f aca="false">VLOOKUP(F191,Backbones!$A$2:$G$5,6,FALSE())</f>
        <v>0.6</v>
      </c>
      <c r="V191" s="15" t="n">
        <f aca="false">T191/1000000*U191</f>
        <v>0.621</v>
      </c>
      <c r="W191" s="11" t="s">
        <v>254</v>
      </c>
    </row>
    <row r="192" customFormat="false" ht="15" hidden="false" customHeight="false" outlineLevel="0" collapsed="false">
      <c r="A192" s="6" t="s">
        <v>276</v>
      </c>
      <c r="B192" s="6" t="s">
        <v>50</v>
      </c>
      <c r="C192" s="6" t="s">
        <v>251</v>
      </c>
      <c r="D192" s="6" t="s">
        <v>223</v>
      </c>
      <c r="E192" s="6" t="s">
        <v>252</v>
      </c>
      <c r="F192" s="6" t="s">
        <v>54</v>
      </c>
      <c r="G192" s="6" t="s">
        <v>87</v>
      </c>
      <c r="H192" s="6" t="n">
        <v>123</v>
      </c>
      <c r="I192" s="6" t="s">
        <v>56</v>
      </c>
      <c r="J192" s="6"/>
      <c r="K192" s="6"/>
      <c r="L192" s="6"/>
      <c r="M192" s="6" t="s">
        <v>225</v>
      </c>
      <c r="N192" s="6" t="s">
        <v>253</v>
      </c>
      <c r="O192" s="6" t="s">
        <v>143</v>
      </c>
      <c r="P192" s="6" t="s">
        <v>226</v>
      </c>
      <c r="Q192" s="7" t="n">
        <f aca="false">VLOOKUP(E192,Conditions!$A$2:$I$13,6,FALSE())</f>
        <v>1.15</v>
      </c>
      <c r="R192" s="8" t="n">
        <f aca="false">VLOOKUP(G192,Benchmarks!$A$2:$I$9,5,FALSE())</f>
        <v>150</v>
      </c>
      <c r="S192" s="8" t="n">
        <f aca="false">VLOOKUP(G192,Benchmarks!$A$2:$I$9,6,FALSE())</f>
        <v>6000</v>
      </c>
      <c r="T192" s="8" t="n">
        <f aca="false">R192*S192*Q192</f>
        <v>1035000</v>
      </c>
      <c r="U192" s="9" t="n">
        <f aca="false">VLOOKUP(F192,Backbones!$A$2:$G$5,6,FALSE())</f>
        <v>0.6</v>
      </c>
      <c r="V192" s="10" t="n">
        <f aca="false">T192/1000000*U192</f>
        <v>0.621</v>
      </c>
      <c r="W192" s="6" t="s">
        <v>254</v>
      </c>
      <c r="X192" s="6"/>
      <c r="Y192" s="6"/>
    </row>
    <row r="193" customFormat="false" ht="15" hidden="false" customHeight="false" outlineLevel="0" collapsed="false">
      <c r="A193" s="0" t="s">
        <v>277</v>
      </c>
      <c r="B193" s="11" t="s">
        <v>50</v>
      </c>
      <c r="C193" s="0" t="s">
        <v>251</v>
      </c>
      <c r="D193" s="0" t="s">
        <v>223</v>
      </c>
      <c r="E193" s="0" t="s">
        <v>252</v>
      </c>
      <c r="F193" s="0" t="s">
        <v>54</v>
      </c>
      <c r="G193" s="0" t="s">
        <v>87</v>
      </c>
      <c r="H193" s="0" t="n">
        <v>7</v>
      </c>
      <c r="I193" s="11" t="s">
        <v>56</v>
      </c>
      <c r="M193" s="0" t="s">
        <v>225</v>
      </c>
      <c r="N193" s="0" t="s">
        <v>253</v>
      </c>
      <c r="O193" s="0" t="s">
        <v>143</v>
      </c>
      <c r="P193" s="0" t="s">
        <v>226</v>
      </c>
      <c r="Q193" s="12" t="n">
        <f aca="false">VLOOKUP(E193,Conditions!$A$2:$I$13,6,FALSE())</f>
        <v>1.15</v>
      </c>
      <c r="R193" s="13" t="n">
        <f aca="false">VLOOKUP(G193,Benchmarks!$A$2:$I$9,5,FALSE())</f>
        <v>150</v>
      </c>
      <c r="S193" s="13" t="n">
        <f aca="false">VLOOKUP(G193,Benchmarks!$A$2:$I$9,6,FALSE())</f>
        <v>6000</v>
      </c>
      <c r="T193" s="13" t="n">
        <f aca="false">R193*S193*Q193</f>
        <v>1035000</v>
      </c>
      <c r="U193" s="14" t="n">
        <f aca="false">VLOOKUP(F193,Backbones!$A$2:$G$5,6,FALSE())</f>
        <v>0.6</v>
      </c>
      <c r="V193" s="15" t="n">
        <f aca="false">T193/1000000*U193</f>
        <v>0.621</v>
      </c>
      <c r="W193" s="11" t="s">
        <v>254</v>
      </c>
    </row>
    <row r="194" customFormat="false" ht="15" hidden="false" customHeight="false" outlineLevel="0" collapsed="false">
      <c r="A194" s="6" t="s">
        <v>278</v>
      </c>
      <c r="B194" s="6" t="s">
        <v>51</v>
      </c>
      <c r="C194" s="6" t="s">
        <v>222</v>
      </c>
      <c r="D194" s="6" t="s">
        <v>223</v>
      </c>
      <c r="E194" s="6" t="s">
        <v>279</v>
      </c>
      <c r="F194" s="6" t="s">
        <v>54</v>
      </c>
      <c r="G194" s="6" t="s">
        <v>63</v>
      </c>
      <c r="H194" s="6" t="n">
        <v>42</v>
      </c>
      <c r="I194" s="6" t="s">
        <v>56</v>
      </c>
      <c r="J194" s="6"/>
      <c r="K194" s="6"/>
      <c r="L194" s="6"/>
      <c r="M194" s="6" t="s">
        <v>280</v>
      </c>
      <c r="N194" s="6" t="s">
        <v>58</v>
      </c>
      <c r="O194" s="6" t="s">
        <v>143</v>
      </c>
      <c r="P194" s="6" t="s">
        <v>92</v>
      </c>
      <c r="Q194" s="7" t="n">
        <f aca="false">VLOOKUP(E194,Conditions!$A$2:$I$13,6,FALSE())</f>
        <v>1</v>
      </c>
      <c r="R194" s="8" t="n">
        <f aca="false">VLOOKUP(G194,Benchmarks!$A$2:$I$9,5,FALSE())</f>
        <v>1273</v>
      </c>
      <c r="S194" s="8" t="n">
        <f aca="false">VLOOKUP(G194,Benchmarks!$A$2:$I$9,6,FALSE())</f>
        <v>5000</v>
      </c>
      <c r="T194" s="8" t="n">
        <f aca="false">R194*S194*Q194</f>
        <v>6365000</v>
      </c>
      <c r="U194" s="9" t="n">
        <f aca="false">VLOOKUP(F194,Backbones!$A$2:$G$5,6,FALSE())</f>
        <v>0.6</v>
      </c>
      <c r="V194" s="10" t="n">
        <f aca="false">T194/1000000*U194</f>
        <v>3.819</v>
      </c>
      <c r="W194" s="6" t="s">
        <v>59</v>
      </c>
      <c r="X194" s="6"/>
      <c r="Y194" s="6"/>
    </row>
    <row r="195" customFormat="false" ht="15" hidden="false" customHeight="false" outlineLevel="0" collapsed="false">
      <c r="A195" s="0" t="s">
        <v>281</v>
      </c>
      <c r="B195" s="11" t="s">
        <v>51</v>
      </c>
      <c r="C195" s="0" t="s">
        <v>222</v>
      </c>
      <c r="D195" s="0" t="s">
        <v>223</v>
      </c>
      <c r="E195" s="0" t="s">
        <v>279</v>
      </c>
      <c r="F195" s="0" t="s">
        <v>54</v>
      </c>
      <c r="G195" s="0" t="s">
        <v>67</v>
      </c>
      <c r="H195" s="0" t="n">
        <v>42</v>
      </c>
      <c r="I195" s="11" t="s">
        <v>56</v>
      </c>
      <c r="M195" s="0" t="s">
        <v>280</v>
      </c>
      <c r="N195" s="0" t="s">
        <v>58</v>
      </c>
      <c r="O195" s="0" t="s">
        <v>143</v>
      </c>
      <c r="P195" s="0" t="s">
        <v>92</v>
      </c>
      <c r="Q195" s="12" t="n">
        <f aca="false">VLOOKUP(E195,Conditions!$A$2:$I$13,6,FALSE())</f>
        <v>1</v>
      </c>
      <c r="R195" s="13" t="n">
        <f aca="false">VLOOKUP(G195,Benchmarks!$A$2:$I$9,5,FALSE())</f>
        <v>4183</v>
      </c>
      <c r="S195" s="13" t="n">
        <f aca="false">VLOOKUP(G195,Benchmarks!$A$2:$I$9,6,FALSE())</f>
        <v>4500</v>
      </c>
      <c r="T195" s="13" t="n">
        <f aca="false">R195*S195*Q195</f>
        <v>18823500</v>
      </c>
      <c r="U195" s="14" t="n">
        <f aca="false">VLOOKUP(F195,Backbones!$A$2:$G$5,6,FALSE())</f>
        <v>0.6</v>
      </c>
      <c r="V195" s="15" t="n">
        <f aca="false">T195/1000000*U195</f>
        <v>11.2941</v>
      </c>
      <c r="W195" s="11" t="s">
        <v>59</v>
      </c>
    </row>
    <row r="196" customFormat="false" ht="15" hidden="false" customHeight="false" outlineLevel="0" collapsed="false">
      <c r="A196" s="6" t="s">
        <v>282</v>
      </c>
      <c r="B196" s="6" t="s">
        <v>51</v>
      </c>
      <c r="C196" s="6" t="s">
        <v>222</v>
      </c>
      <c r="D196" s="6" t="s">
        <v>223</v>
      </c>
      <c r="E196" s="6" t="s">
        <v>279</v>
      </c>
      <c r="F196" s="6" t="s">
        <v>54</v>
      </c>
      <c r="G196" s="6" t="s">
        <v>71</v>
      </c>
      <c r="H196" s="6" t="n">
        <v>42</v>
      </c>
      <c r="I196" s="6" t="s">
        <v>56</v>
      </c>
      <c r="J196" s="6"/>
      <c r="K196" s="6"/>
      <c r="L196" s="6"/>
      <c r="M196" s="6" t="s">
        <v>280</v>
      </c>
      <c r="N196" s="6" t="s">
        <v>58</v>
      </c>
      <c r="O196" s="6" t="s">
        <v>143</v>
      </c>
      <c r="P196" s="6" t="s">
        <v>92</v>
      </c>
      <c r="Q196" s="7" t="n">
        <f aca="false">VLOOKUP(E196,Conditions!$A$2:$I$13,6,FALSE())</f>
        <v>1</v>
      </c>
      <c r="R196" s="8" t="n">
        <f aca="false">VLOOKUP(G196,Benchmarks!$A$2:$I$9,5,FALSE())</f>
        <v>500</v>
      </c>
      <c r="S196" s="8" t="n">
        <f aca="false">VLOOKUP(G196,Benchmarks!$A$2:$I$9,6,FALSE())</f>
        <v>5500</v>
      </c>
      <c r="T196" s="8" t="n">
        <f aca="false">R196*S196*Q196</f>
        <v>2750000</v>
      </c>
      <c r="U196" s="9" t="n">
        <f aca="false">VLOOKUP(F196,Backbones!$A$2:$G$5,6,FALSE())</f>
        <v>0.6</v>
      </c>
      <c r="V196" s="10" t="n">
        <f aca="false">T196/1000000*U196</f>
        <v>1.65</v>
      </c>
      <c r="W196" s="6" t="s">
        <v>59</v>
      </c>
      <c r="X196" s="6"/>
      <c r="Y196" s="6"/>
    </row>
    <row r="197" customFormat="false" ht="15" hidden="false" customHeight="false" outlineLevel="0" collapsed="false">
      <c r="A197" s="0" t="s">
        <v>283</v>
      </c>
      <c r="B197" s="11" t="s">
        <v>51</v>
      </c>
      <c r="C197" s="0" t="s">
        <v>222</v>
      </c>
      <c r="D197" s="0" t="s">
        <v>223</v>
      </c>
      <c r="E197" s="0" t="s">
        <v>279</v>
      </c>
      <c r="F197" s="0" t="s">
        <v>54</v>
      </c>
      <c r="G197" s="0" t="s">
        <v>83</v>
      </c>
      <c r="H197" s="0" t="n">
        <v>42</v>
      </c>
      <c r="I197" s="11" t="s">
        <v>56</v>
      </c>
      <c r="M197" s="0" t="s">
        <v>280</v>
      </c>
      <c r="N197" s="0" t="s">
        <v>58</v>
      </c>
      <c r="O197" s="0" t="s">
        <v>143</v>
      </c>
      <c r="P197" s="0" t="s">
        <v>92</v>
      </c>
      <c r="Q197" s="12" t="n">
        <f aca="false">VLOOKUP(E197,Conditions!$A$2:$I$13,6,FALSE())</f>
        <v>1</v>
      </c>
      <c r="R197" s="13" t="n">
        <f aca="false">VLOOKUP(G197,Benchmarks!$A$2:$I$9,5,FALSE())</f>
        <v>200</v>
      </c>
      <c r="S197" s="13" t="n">
        <f aca="false">VLOOKUP(G197,Benchmarks!$A$2:$I$9,6,FALSE())</f>
        <v>8000</v>
      </c>
      <c r="T197" s="13" t="n">
        <f aca="false">R197*S197*Q197</f>
        <v>1600000</v>
      </c>
      <c r="U197" s="14" t="n">
        <f aca="false">VLOOKUP(F197,Backbones!$A$2:$G$5,6,FALSE())</f>
        <v>0.6</v>
      </c>
      <c r="V197" s="15" t="n">
        <f aca="false">T197/1000000*U197</f>
        <v>0.96</v>
      </c>
      <c r="W197" s="11" t="s">
        <v>59</v>
      </c>
    </row>
    <row r="198" customFormat="false" ht="15" hidden="false" customHeight="false" outlineLevel="0" collapsed="false">
      <c r="A198" s="6" t="s">
        <v>284</v>
      </c>
      <c r="B198" s="6" t="s">
        <v>51</v>
      </c>
      <c r="C198" s="6" t="s">
        <v>222</v>
      </c>
      <c r="D198" s="6" t="s">
        <v>223</v>
      </c>
      <c r="E198" s="6" t="s">
        <v>285</v>
      </c>
      <c r="F198" s="6" t="s">
        <v>54</v>
      </c>
      <c r="G198" s="6" t="s">
        <v>63</v>
      </c>
      <c r="H198" s="6" t="n">
        <v>42</v>
      </c>
      <c r="I198" s="6" t="s">
        <v>56</v>
      </c>
      <c r="J198" s="6"/>
      <c r="K198" s="6"/>
      <c r="L198" s="6"/>
      <c r="M198" s="6" t="s">
        <v>225</v>
      </c>
      <c r="N198" s="6" t="s">
        <v>286</v>
      </c>
      <c r="O198" s="6" t="s">
        <v>143</v>
      </c>
      <c r="P198" s="6" t="s">
        <v>226</v>
      </c>
      <c r="Q198" s="7" t="n">
        <f aca="false">VLOOKUP(E198,Conditions!$A$2:$I$13,6,FALSE())</f>
        <v>1.2</v>
      </c>
      <c r="R198" s="8" t="n">
        <f aca="false">VLOOKUP(G198,Benchmarks!$A$2:$I$9,5,FALSE())</f>
        <v>1273</v>
      </c>
      <c r="S198" s="8" t="n">
        <f aca="false">VLOOKUP(G198,Benchmarks!$A$2:$I$9,6,FALSE())</f>
        <v>5000</v>
      </c>
      <c r="T198" s="8" t="n">
        <f aca="false">R198*S198*Q198</f>
        <v>7638000</v>
      </c>
      <c r="U198" s="9" t="n">
        <f aca="false">VLOOKUP(F198,Backbones!$A$2:$G$5,6,FALSE())</f>
        <v>0.6</v>
      </c>
      <c r="V198" s="10" t="n">
        <f aca="false">T198/1000000*U198</f>
        <v>4.5828</v>
      </c>
      <c r="W198" s="6" t="s">
        <v>145</v>
      </c>
      <c r="X198" s="6"/>
      <c r="Y198" s="6"/>
    </row>
    <row r="199" customFormat="false" ht="15" hidden="false" customHeight="false" outlineLevel="0" collapsed="false">
      <c r="A199" s="0" t="s">
        <v>287</v>
      </c>
      <c r="B199" s="11" t="s">
        <v>51</v>
      </c>
      <c r="C199" s="0" t="s">
        <v>222</v>
      </c>
      <c r="D199" s="0" t="s">
        <v>223</v>
      </c>
      <c r="E199" s="0" t="s">
        <v>285</v>
      </c>
      <c r="F199" s="0" t="s">
        <v>54</v>
      </c>
      <c r="G199" s="0" t="s">
        <v>67</v>
      </c>
      <c r="H199" s="0" t="n">
        <v>42</v>
      </c>
      <c r="I199" s="11" t="s">
        <v>56</v>
      </c>
      <c r="M199" s="0" t="s">
        <v>225</v>
      </c>
      <c r="N199" s="0" t="s">
        <v>286</v>
      </c>
      <c r="O199" s="0" t="s">
        <v>143</v>
      </c>
      <c r="P199" s="0" t="s">
        <v>226</v>
      </c>
      <c r="Q199" s="12" t="n">
        <f aca="false">VLOOKUP(E199,Conditions!$A$2:$I$13,6,FALSE())</f>
        <v>1.2</v>
      </c>
      <c r="R199" s="13" t="n">
        <f aca="false">VLOOKUP(G199,Benchmarks!$A$2:$I$9,5,FALSE())</f>
        <v>4183</v>
      </c>
      <c r="S199" s="13" t="n">
        <f aca="false">VLOOKUP(G199,Benchmarks!$A$2:$I$9,6,FALSE())</f>
        <v>4500</v>
      </c>
      <c r="T199" s="13" t="n">
        <f aca="false">R199*S199*Q199</f>
        <v>22588200</v>
      </c>
      <c r="U199" s="14" t="n">
        <f aca="false">VLOOKUP(F199,Backbones!$A$2:$G$5,6,FALSE())</f>
        <v>0.6</v>
      </c>
      <c r="V199" s="15" t="n">
        <f aca="false">T199/1000000*U199</f>
        <v>13.55292</v>
      </c>
      <c r="W199" s="11" t="s">
        <v>145</v>
      </c>
    </row>
    <row r="200" customFormat="false" ht="15" hidden="false" customHeight="false" outlineLevel="0" collapsed="false">
      <c r="A200" s="6" t="s">
        <v>288</v>
      </c>
      <c r="B200" s="6" t="s">
        <v>51</v>
      </c>
      <c r="C200" s="6" t="s">
        <v>222</v>
      </c>
      <c r="D200" s="6" t="s">
        <v>223</v>
      </c>
      <c r="E200" s="6" t="s">
        <v>285</v>
      </c>
      <c r="F200" s="6" t="s">
        <v>54</v>
      </c>
      <c r="G200" s="6" t="s">
        <v>71</v>
      </c>
      <c r="H200" s="6" t="n">
        <v>42</v>
      </c>
      <c r="I200" s="6" t="s">
        <v>56</v>
      </c>
      <c r="J200" s="6"/>
      <c r="K200" s="6"/>
      <c r="L200" s="6"/>
      <c r="M200" s="6" t="s">
        <v>225</v>
      </c>
      <c r="N200" s="6" t="s">
        <v>286</v>
      </c>
      <c r="O200" s="6" t="s">
        <v>143</v>
      </c>
      <c r="P200" s="6" t="s">
        <v>226</v>
      </c>
      <c r="Q200" s="7" t="n">
        <f aca="false">VLOOKUP(E200,Conditions!$A$2:$I$13,6,FALSE())</f>
        <v>1.2</v>
      </c>
      <c r="R200" s="8" t="n">
        <f aca="false">VLOOKUP(G200,Benchmarks!$A$2:$I$9,5,FALSE())</f>
        <v>500</v>
      </c>
      <c r="S200" s="8" t="n">
        <f aca="false">VLOOKUP(G200,Benchmarks!$A$2:$I$9,6,FALSE())</f>
        <v>5500</v>
      </c>
      <c r="T200" s="8" t="n">
        <f aca="false">R200*S200*Q200</f>
        <v>3300000</v>
      </c>
      <c r="U200" s="9" t="n">
        <f aca="false">VLOOKUP(F200,Backbones!$A$2:$G$5,6,FALSE())</f>
        <v>0.6</v>
      </c>
      <c r="V200" s="10" t="n">
        <f aca="false">T200/1000000*U200</f>
        <v>1.98</v>
      </c>
      <c r="W200" s="6" t="s">
        <v>145</v>
      </c>
      <c r="X200" s="6"/>
      <c r="Y200" s="6"/>
    </row>
    <row r="201" customFormat="false" ht="15" hidden="false" customHeight="false" outlineLevel="0" collapsed="false">
      <c r="A201" s="0" t="s">
        <v>289</v>
      </c>
      <c r="B201" s="11" t="s">
        <v>51</v>
      </c>
      <c r="C201" s="0" t="s">
        <v>222</v>
      </c>
      <c r="D201" s="0" t="s">
        <v>223</v>
      </c>
      <c r="E201" s="0" t="s">
        <v>285</v>
      </c>
      <c r="F201" s="0" t="s">
        <v>54</v>
      </c>
      <c r="G201" s="0" t="s">
        <v>83</v>
      </c>
      <c r="H201" s="0" t="n">
        <v>42</v>
      </c>
      <c r="I201" s="11" t="s">
        <v>56</v>
      </c>
      <c r="M201" s="0" t="s">
        <v>225</v>
      </c>
      <c r="N201" s="0" t="s">
        <v>286</v>
      </c>
      <c r="O201" s="0" t="s">
        <v>143</v>
      </c>
      <c r="P201" s="0" t="s">
        <v>226</v>
      </c>
      <c r="Q201" s="12" t="n">
        <f aca="false">VLOOKUP(E201,Conditions!$A$2:$I$13,6,FALSE())</f>
        <v>1.2</v>
      </c>
      <c r="R201" s="13" t="n">
        <f aca="false">VLOOKUP(G201,Benchmarks!$A$2:$I$9,5,FALSE())</f>
        <v>200</v>
      </c>
      <c r="S201" s="13" t="n">
        <f aca="false">VLOOKUP(G201,Benchmarks!$A$2:$I$9,6,FALSE())</f>
        <v>8000</v>
      </c>
      <c r="T201" s="13" t="n">
        <f aca="false">R201*S201*Q201</f>
        <v>1920000</v>
      </c>
      <c r="U201" s="14" t="n">
        <f aca="false">VLOOKUP(F201,Backbones!$A$2:$G$5,6,FALSE())</f>
        <v>0.6</v>
      </c>
      <c r="V201" s="15" t="n">
        <f aca="false">T201/1000000*U201</f>
        <v>1.152</v>
      </c>
      <c r="W201" s="11" t="s">
        <v>145</v>
      </c>
    </row>
    <row r="202" customFormat="false" ht="15" hidden="false" customHeight="false" outlineLevel="0" collapsed="false">
      <c r="A202" s="6" t="s">
        <v>290</v>
      </c>
      <c r="B202" s="6" t="s">
        <v>51</v>
      </c>
      <c r="C202" s="6" t="s">
        <v>222</v>
      </c>
      <c r="D202" s="6" t="s">
        <v>223</v>
      </c>
      <c r="E202" s="6" t="s">
        <v>291</v>
      </c>
      <c r="F202" s="6" t="s">
        <v>54</v>
      </c>
      <c r="G202" s="6" t="s">
        <v>63</v>
      </c>
      <c r="H202" s="6" t="n">
        <v>42</v>
      </c>
      <c r="I202" s="6" t="s">
        <v>56</v>
      </c>
      <c r="J202" s="6"/>
      <c r="K202" s="6"/>
      <c r="L202" s="6"/>
      <c r="M202" s="6" t="s">
        <v>225</v>
      </c>
      <c r="N202" s="6" t="s">
        <v>58</v>
      </c>
      <c r="O202" s="6" t="s">
        <v>143</v>
      </c>
      <c r="P202" s="6" t="s">
        <v>226</v>
      </c>
      <c r="Q202" s="7" t="n">
        <f aca="false">VLOOKUP(E202,Conditions!$A$2:$I$13,6,FALSE())</f>
        <v>1.1</v>
      </c>
      <c r="R202" s="8" t="n">
        <f aca="false">VLOOKUP(G202,Benchmarks!$A$2:$I$9,5,FALSE())</f>
        <v>1273</v>
      </c>
      <c r="S202" s="8" t="n">
        <f aca="false">VLOOKUP(G202,Benchmarks!$A$2:$I$9,6,FALSE())</f>
        <v>5000</v>
      </c>
      <c r="T202" s="8" t="n">
        <f aca="false">R202*S202*Q202</f>
        <v>7001500</v>
      </c>
      <c r="U202" s="9" t="n">
        <f aca="false">VLOOKUP(F202,Backbones!$A$2:$G$5,6,FALSE())</f>
        <v>0.6</v>
      </c>
      <c r="V202" s="10" t="n">
        <f aca="false">T202/1000000*U202</f>
        <v>4.2009</v>
      </c>
      <c r="W202" s="6" t="s">
        <v>145</v>
      </c>
      <c r="X202" s="6"/>
      <c r="Y202" s="6"/>
    </row>
    <row r="203" customFormat="false" ht="15" hidden="false" customHeight="false" outlineLevel="0" collapsed="false">
      <c r="A203" s="0" t="s">
        <v>292</v>
      </c>
      <c r="B203" s="11" t="s">
        <v>51</v>
      </c>
      <c r="C203" s="0" t="s">
        <v>222</v>
      </c>
      <c r="D203" s="0" t="s">
        <v>223</v>
      </c>
      <c r="E203" s="0" t="s">
        <v>291</v>
      </c>
      <c r="F203" s="0" t="s">
        <v>54</v>
      </c>
      <c r="G203" s="0" t="s">
        <v>67</v>
      </c>
      <c r="H203" s="0" t="n">
        <v>42</v>
      </c>
      <c r="I203" s="11" t="s">
        <v>56</v>
      </c>
      <c r="M203" s="0" t="s">
        <v>225</v>
      </c>
      <c r="N203" s="0" t="s">
        <v>58</v>
      </c>
      <c r="O203" s="0" t="s">
        <v>143</v>
      </c>
      <c r="P203" s="0" t="s">
        <v>226</v>
      </c>
      <c r="Q203" s="12" t="n">
        <f aca="false">VLOOKUP(E203,Conditions!$A$2:$I$13,6,FALSE())</f>
        <v>1.1</v>
      </c>
      <c r="R203" s="13" t="n">
        <f aca="false">VLOOKUP(G203,Benchmarks!$A$2:$I$9,5,FALSE())</f>
        <v>4183</v>
      </c>
      <c r="S203" s="13" t="n">
        <f aca="false">VLOOKUP(G203,Benchmarks!$A$2:$I$9,6,FALSE())</f>
        <v>4500</v>
      </c>
      <c r="T203" s="13" t="n">
        <f aca="false">R203*S203*Q203</f>
        <v>20705850</v>
      </c>
      <c r="U203" s="14" t="n">
        <f aca="false">VLOOKUP(F203,Backbones!$A$2:$G$5,6,FALSE())</f>
        <v>0.6</v>
      </c>
      <c r="V203" s="15" t="n">
        <f aca="false">T203/1000000*U203</f>
        <v>12.42351</v>
      </c>
      <c r="W203" s="11" t="s">
        <v>145</v>
      </c>
    </row>
    <row r="204" customFormat="false" ht="15" hidden="false" customHeight="false" outlineLevel="0" collapsed="false">
      <c r="A204" s="6" t="s">
        <v>293</v>
      </c>
      <c r="B204" s="6" t="s">
        <v>51</v>
      </c>
      <c r="C204" s="6" t="s">
        <v>222</v>
      </c>
      <c r="D204" s="6" t="s">
        <v>223</v>
      </c>
      <c r="E204" s="6" t="s">
        <v>291</v>
      </c>
      <c r="F204" s="6" t="s">
        <v>54</v>
      </c>
      <c r="G204" s="6" t="s">
        <v>71</v>
      </c>
      <c r="H204" s="6" t="n">
        <v>42</v>
      </c>
      <c r="I204" s="6" t="s">
        <v>56</v>
      </c>
      <c r="J204" s="6"/>
      <c r="K204" s="6"/>
      <c r="L204" s="6"/>
      <c r="M204" s="6" t="s">
        <v>225</v>
      </c>
      <c r="N204" s="6" t="s">
        <v>58</v>
      </c>
      <c r="O204" s="6" t="s">
        <v>143</v>
      </c>
      <c r="P204" s="6" t="s">
        <v>226</v>
      </c>
      <c r="Q204" s="7" t="n">
        <f aca="false">VLOOKUP(E204,Conditions!$A$2:$I$13,6,FALSE())</f>
        <v>1.1</v>
      </c>
      <c r="R204" s="8" t="n">
        <f aca="false">VLOOKUP(G204,Benchmarks!$A$2:$I$9,5,FALSE())</f>
        <v>500</v>
      </c>
      <c r="S204" s="8" t="n">
        <f aca="false">VLOOKUP(G204,Benchmarks!$A$2:$I$9,6,FALSE())</f>
        <v>5500</v>
      </c>
      <c r="T204" s="8" t="n">
        <f aca="false">R204*S204*Q204</f>
        <v>3025000</v>
      </c>
      <c r="U204" s="9" t="n">
        <f aca="false">VLOOKUP(F204,Backbones!$A$2:$G$5,6,FALSE())</f>
        <v>0.6</v>
      </c>
      <c r="V204" s="10" t="n">
        <f aca="false">T204/1000000*U204</f>
        <v>1.815</v>
      </c>
      <c r="W204" s="6" t="s">
        <v>145</v>
      </c>
      <c r="X204" s="6"/>
      <c r="Y204" s="6"/>
    </row>
    <row r="205" customFormat="false" ht="15" hidden="false" customHeight="false" outlineLevel="0" collapsed="false">
      <c r="A205" s="0" t="s">
        <v>294</v>
      </c>
      <c r="B205" s="11" t="s">
        <v>51</v>
      </c>
      <c r="C205" s="0" t="s">
        <v>222</v>
      </c>
      <c r="D205" s="0" t="s">
        <v>223</v>
      </c>
      <c r="E205" s="0" t="s">
        <v>291</v>
      </c>
      <c r="F205" s="0" t="s">
        <v>54</v>
      </c>
      <c r="G205" s="0" t="s">
        <v>83</v>
      </c>
      <c r="H205" s="0" t="n">
        <v>42</v>
      </c>
      <c r="I205" s="11" t="s">
        <v>56</v>
      </c>
      <c r="M205" s="0" t="s">
        <v>225</v>
      </c>
      <c r="N205" s="0" t="s">
        <v>58</v>
      </c>
      <c r="O205" s="0" t="s">
        <v>143</v>
      </c>
      <c r="P205" s="0" t="s">
        <v>226</v>
      </c>
      <c r="Q205" s="12" t="n">
        <f aca="false">VLOOKUP(E205,Conditions!$A$2:$I$13,6,FALSE())</f>
        <v>1.1</v>
      </c>
      <c r="R205" s="13" t="n">
        <f aca="false">VLOOKUP(G205,Benchmarks!$A$2:$I$9,5,FALSE())</f>
        <v>200</v>
      </c>
      <c r="S205" s="13" t="n">
        <f aca="false">VLOOKUP(G205,Benchmarks!$A$2:$I$9,6,FALSE())</f>
        <v>8000</v>
      </c>
      <c r="T205" s="13" t="n">
        <f aca="false">R205*S205*Q205</f>
        <v>1760000</v>
      </c>
      <c r="U205" s="14" t="n">
        <f aca="false">VLOOKUP(F205,Backbones!$A$2:$G$5,6,FALSE())</f>
        <v>0.6</v>
      </c>
      <c r="V205" s="15" t="n">
        <f aca="false">T205/1000000*U205</f>
        <v>1.056</v>
      </c>
      <c r="W205" s="11" t="s">
        <v>145</v>
      </c>
    </row>
    <row r="206" customFormat="false" ht="15" hidden="false" customHeight="false" outlineLevel="0" collapsed="false">
      <c r="A206" s="6" t="s">
        <v>295</v>
      </c>
      <c r="B206" s="6" t="s">
        <v>51</v>
      </c>
      <c r="C206" s="6" t="s">
        <v>222</v>
      </c>
      <c r="D206" s="6" t="s">
        <v>223</v>
      </c>
      <c r="E206" s="6" t="s">
        <v>296</v>
      </c>
      <c r="F206" s="6" t="s">
        <v>54</v>
      </c>
      <c r="G206" s="6" t="s">
        <v>63</v>
      </c>
      <c r="H206" s="6" t="n">
        <v>42</v>
      </c>
      <c r="I206" s="6" t="s">
        <v>56</v>
      </c>
      <c r="J206" s="6"/>
      <c r="K206" s="6"/>
      <c r="L206" s="6"/>
      <c r="M206" s="6" t="s">
        <v>225</v>
      </c>
      <c r="N206" s="6" t="s">
        <v>58</v>
      </c>
      <c r="O206" s="6" t="s">
        <v>58</v>
      </c>
      <c r="P206" s="6" t="s">
        <v>226</v>
      </c>
      <c r="Q206" s="7" t="n">
        <f aca="false">VLOOKUP(E206,Conditions!$A$2:$I$13,6,FALSE())</f>
        <v>1</v>
      </c>
      <c r="R206" s="8" t="n">
        <f aca="false">VLOOKUP(G206,Benchmarks!$A$2:$I$9,5,FALSE())</f>
        <v>1273</v>
      </c>
      <c r="S206" s="8" t="n">
        <f aca="false">VLOOKUP(G206,Benchmarks!$A$2:$I$9,6,FALSE())</f>
        <v>5000</v>
      </c>
      <c r="T206" s="8" t="n">
        <f aca="false">R206*S206*Q206</f>
        <v>6365000</v>
      </c>
      <c r="U206" s="9" t="n">
        <f aca="false">VLOOKUP(F206,Backbones!$A$2:$G$5,6,FALSE())</f>
        <v>0.6</v>
      </c>
      <c r="V206" s="10" t="n">
        <f aca="false">T206/1000000*U206</f>
        <v>3.819</v>
      </c>
      <c r="W206" s="6" t="s">
        <v>145</v>
      </c>
      <c r="X206" s="6"/>
      <c r="Y206" s="6"/>
    </row>
    <row r="207" customFormat="false" ht="15" hidden="false" customHeight="false" outlineLevel="0" collapsed="false">
      <c r="A207" s="0" t="s">
        <v>297</v>
      </c>
      <c r="B207" s="11" t="s">
        <v>51</v>
      </c>
      <c r="C207" s="0" t="s">
        <v>222</v>
      </c>
      <c r="D207" s="0" t="s">
        <v>223</v>
      </c>
      <c r="E207" s="0" t="s">
        <v>296</v>
      </c>
      <c r="F207" s="0" t="s">
        <v>54</v>
      </c>
      <c r="G207" s="0" t="s">
        <v>67</v>
      </c>
      <c r="H207" s="0" t="n">
        <v>42</v>
      </c>
      <c r="I207" s="11" t="s">
        <v>56</v>
      </c>
      <c r="M207" s="0" t="s">
        <v>225</v>
      </c>
      <c r="N207" s="0" t="s">
        <v>58</v>
      </c>
      <c r="O207" s="0" t="s">
        <v>58</v>
      </c>
      <c r="P207" s="0" t="s">
        <v>226</v>
      </c>
      <c r="Q207" s="12" t="n">
        <f aca="false">VLOOKUP(E207,Conditions!$A$2:$I$13,6,FALSE())</f>
        <v>1</v>
      </c>
      <c r="R207" s="13" t="n">
        <f aca="false">VLOOKUP(G207,Benchmarks!$A$2:$I$9,5,FALSE())</f>
        <v>4183</v>
      </c>
      <c r="S207" s="13" t="n">
        <f aca="false">VLOOKUP(G207,Benchmarks!$A$2:$I$9,6,FALSE())</f>
        <v>4500</v>
      </c>
      <c r="T207" s="13" t="n">
        <f aca="false">R207*S207*Q207</f>
        <v>18823500</v>
      </c>
      <c r="U207" s="14" t="n">
        <f aca="false">VLOOKUP(F207,Backbones!$A$2:$G$5,6,FALSE())</f>
        <v>0.6</v>
      </c>
      <c r="V207" s="15" t="n">
        <f aca="false">T207/1000000*U207</f>
        <v>11.2941</v>
      </c>
      <c r="W207" s="11" t="s">
        <v>145</v>
      </c>
    </row>
    <row r="208" customFormat="false" ht="15" hidden="false" customHeight="false" outlineLevel="0" collapsed="false">
      <c r="A208" s="6" t="s">
        <v>298</v>
      </c>
      <c r="B208" s="6" t="s">
        <v>51</v>
      </c>
      <c r="C208" s="6" t="s">
        <v>222</v>
      </c>
      <c r="D208" s="6" t="s">
        <v>223</v>
      </c>
      <c r="E208" s="6" t="s">
        <v>296</v>
      </c>
      <c r="F208" s="6" t="s">
        <v>54</v>
      </c>
      <c r="G208" s="6" t="s">
        <v>71</v>
      </c>
      <c r="H208" s="6" t="n">
        <v>42</v>
      </c>
      <c r="I208" s="6" t="s">
        <v>56</v>
      </c>
      <c r="J208" s="6"/>
      <c r="K208" s="6"/>
      <c r="L208" s="6"/>
      <c r="M208" s="6" t="s">
        <v>225</v>
      </c>
      <c r="N208" s="6" t="s">
        <v>58</v>
      </c>
      <c r="O208" s="6" t="s">
        <v>58</v>
      </c>
      <c r="P208" s="6" t="s">
        <v>226</v>
      </c>
      <c r="Q208" s="7" t="n">
        <f aca="false">VLOOKUP(E208,Conditions!$A$2:$I$13,6,FALSE())</f>
        <v>1</v>
      </c>
      <c r="R208" s="8" t="n">
        <f aca="false">VLOOKUP(G208,Benchmarks!$A$2:$I$9,5,FALSE())</f>
        <v>500</v>
      </c>
      <c r="S208" s="8" t="n">
        <f aca="false">VLOOKUP(G208,Benchmarks!$A$2:$I$9,6,FALSE())</f>
        <v>5500</v>
      </c>
      <c r="T208" s="8" t="n">
        <f aca="false">R208*S208*Q208</f>
        <v>2750000</v>
      </c>
      <c r="U208" s="9" t="n">
        <f aca="false">VLOOKUP(F208,Backbones!$A$2:$G$5,6,FALSE())</f>
        <v>0.6</v>
      </c>
      <c r="V208" s="10" t="n">
        <f aca="false">T208/1000000*U208</f>
        <v>1.65</v>
      </c>
      <c r="W208" s="6" t="s">
        <v>145</v>
      </c>
      <c r="X208" s="6"/>
      <c r="Y208" s="6"/>
    </row>
    <row r="209" customFormat="false" ht="15" hidden="false" customHeight="false" outlineLevel="0" collapsed="false">
      <c r="A209" s="0" t="s">
        <v>299</v>
      </c>
      <c r="B209" s="11" t="s">
        <v>51</v>
      </c>
      <c r="C209" s="0" t="s">
        <v>222</v>
      </c>
      <c r="D209" s="0" t="s">
        <v>223</v>
      </c>
      <c r="E209" s="0" t="s">
        <v>296</v>
      </c>
      <c r="F209" s="0" t="s">
        <v>54</v>
      </c>
      <c r="G209" s="0" t="s">
        <v>83</v>
      </c>
      <c r="H209" s="0" t="n">
        <v>42</v>
      </c>
      <c r="I209" s="11" t="s">
        <v>56</v>
      </c>
      <c r="M209" s="0" t="s">
        <v>225</v>
      </c>
      <c r="N209" s="0" t="s">
        <v>58</v>
      </c>
      <c r="O209" s="0" t="s">
        <v>58</v>
      </c>
      <c r="P209" s="0" t="s">
        <v>226</v>
      </c>
      <c r="Q209" s="12" t="n">
        <f aca="false">VLOOKUP(E209,Conditions!$A$2:$I$13,6,FALSE())</f>
        <v>1</v>
      </c>
      <c r="R209" s="13" t="n">
        <f aca="false">VLOOKUP(G209,Benchmarks!$A$2:$I$9,5,FALSE())</f>
        <v>200</v>
      </c>
      <c r="S209" s="13" t="n">
        <f aca="false">VLOOKUP(G209,Benchmarks!$A$2:$I$9,6,FALSE())</f>
        <v>8000</v>
      </c>
      <c r="T209" s="13" t="n">
        <f aca="false">R209*S209*Q209</f>
        <v>1600000</v>
      </c>
      <c r="U209" s="14" t="n">
        <f aca="false">VLOOKUP(F209,Backbones!$A$2:$G$5,6,FALSE())</f>
        <v>0.6</v>
      </c>
      <c r="V209" s="15" t="n">
        <f aca="false">T209/1000000*U209</f>
        <v>0.96</v>
      </c>
      <c r="W209" s="11" t="s">
        <v>145</v>
      </c>
    </row>
    <row r="210" customFormat="false" ht="15" hidden="false" customHeight="false" outlineLevel="0" collapsed="false">
      <c r="A210" s="6" t="s">
        <v>300</v>
      </c>
      <c r="B210" s="6" t="s">
        <v>301</v>
      </c>
      <c r="C210" s="6" t="s">
        <v>51</v>
      </c>
      <c r="D210" s="6" t="s">
        <v>52</v>
      </c>
      <c r="E210" s="6" t="s">
        <v>117</v>
      </c>
      <c r="F210" s="6" t="s">
        <v>302</v>
      </c>
      <c r="G210" s="6" t="s">
        <v>63</v>
      </c>
      <c r="H210" s="6" t="n">
        <v>42</v>
      </c>
      <c r="I210" s="6" t="s">
        <v>56</v>
      </c>
      <c r="J210" s="6"/>
      <c r="K210" s="6"/>
      <c r="L210" s="6"/>
      <c r="M210" s="6" t="s">
        <v>57</v>
      </c>
      <c r="N210" s="6" t="s">
        <v>58</v>
      </c>
      <c r="O210" s="6" t="s">
        <v>58</v>
      </c>
      <c r="P210" s="6" t="s">
        <v>92</v>
      </c>
      <c r="Q210" s="7" t="n">
        <f aca="false">VLOOKUP(E210,Conditions!$A$2:$I$13,6,FALSE())</f>
        <v>1</v>
      </c>
      <c r="R210" s="8" t="n">
        <f aca="false">VLOOKUP(G210,Benchmarks!$A$2:$I$9,5,FALSE())</f>
        <v>1273</v>
      </c>
      <c r="S210" s="8" t="n">
        <f aca="false">VLOOKUP(G210,Benchmarks!$A$2:$I$9,6,FALSE())</f>
        <v>5000</v>
      </c>
      <c r="T210" s="8" t="n">
        <f aca="false">R210*S210*Q210</f>
        <v>6365000</v>
      </c>
      <c r="U210" s="9" t="n">
        <f aca="false">VLOOKUP(F210,Backbones!$A$2:$G$5,6,FALSE())</f>
        <v>0.15</v>
      </c>
      <c r="V210" s="10" t="n">
        <f aca="false">T210/1000000*U210</f>
        <v>0.95475</v>
      </c>
      <c r="W210" s="6" t="s">
        <v>59</v>
      </c>
      <c r="X210" s="6"/>
      <c r="Y210" s="6"/>
    </row>
    <row r="211" customFormat="false" ht="15" hidden="false" customHeight="false" outlineLevel="0" collapsed="false">
      <c r="A211" s="0" t="s">
        <v>303</v>
      </c>
      <c r="B211" s="11" t="s">
        <v>301</v>
      </c>
      <c r="C211" s="0" t="s">
        <v>51</v>
      </c>
      <c r="D211" s="0" t="s">
        <v>52</v>
      </c>
      <c r="E211" s="0" t="s">
        <v>117</v>
      </c>
      <c r="F211" s="0" t="s">
        <v>302</v>
      </c>
      <c r="G211" s="0" t="s">
        <v>71</v>
      </c>
      <c r="H211" s="0" t="n">
        <v>42</v>
      </c>
      <c r="I211" s="11" t="s">
        <v>56</v>
      </c>
      <c r="M211" s="0" t="s">
        <v>57</v>
      </c>
      <c r="N211" s="0" t="s">
        <v>58</v>
      </c>
      <c r="O211" s="0" t="s">
        <v>58</v>
      </c>
      <c r="P211" s="0" t="s">
        <v>92</v>
      </c>
      <c r="Q211" s="12" t="n">
        <f aca="false">VLOOKUP(E211,Conditions!$A$2:$I$13,6,FALSE())</f>
        <v>1</v>
      </c>
      <c r="R211" s="13" t="n">
        <f aca="false">VLOOKUP(G211,Benchmarks!$A$2:$I$9,5,FALSE())</f>
        <v>500</v>
      </c>
      <c r="S211" s="13" t="n">
        <f aca="false">VLOOKUP(G211,Benchmarks!$A$2:$I$9,6,FALSE())</f>
        <v>5500</v>
      </c>
      <c r="T211" s="13" t="n">
        <f aca="false">R211*S211*Q211</f>
        <v>2750000</v>
      </c>
      <c r="U211" s="14" t="n">
        <f aca="false">VLOOKUP(F211,Backbones!$A$2:$G$5,6,FALSE())</f>
        <v>0.15</v>
      </c>
      <c r="V211" s="15" t="n">
        <f aca="false">T211/1000000*U211</f>
        <v>0.4125</v>
      </c>
      <c r="W211" s="11" t="s">
        <v>59</v>
      </c>
    </row>
    <row r="212" customFormat="false" ht="15" hidden="false" customHeight="false" outlineLevel="0" collapsed="false">
      <c r="A212" s="6" t="s">
        <v>304</v>
      </c>
      <c r="B212" s="6" t="s">
        <v>301</v>
      </c>
      <c r="C212" s="6" t="s">
        <v>51</v>
      </c>
      <c r="D212" s="6" t="s">
        <v>52</v>
      </c>
      <c r="E212" s="6" t="s">
        <v>117</v>
      </c>
      <c r="F212" s="6" t="s">
        <v>302</v>
      </c>
      <c r="G212" s="6" t="s">
        <v>83</v>
      </c>
      <c r="H212" s="6" t="n">
        <v>42</v>
      </c>
      <c r="I212" s="6" t="s">
        <v>56</v>
      </c>
      <c r="J212" s="6"/>
      <c r="K212" s="6"/>
      <c r="L212" s="6"/>
      <c r="M212" s="6" t="s">
        <v>57</v>
      </c>
      <c r="N212" s="6" t="s">
        <v>58</v>
      </c>
      <c r="O212" s="6" t="s">
        <v>58</v>
      </c>
      <c r="P212" s="6" t="s">
        <v>92</v>
      </c>
      <c r="Q212" s="7" t="n">
        <f aca="false">VLOOKUP(E212,Conditions!$A$2:$I$13,6,FALSE())</f>
        <v>1</v>
      </c>
      <c r="R212" s="8" t="n">
        <f aca="false">VLOOKUP(G212,Benchmarks!$A$2:$I$9,5,FALSE())</f>
        <v>200</v>
      </c>
      <c r="S212" s="8" t="n">
        <f aca="false">VLOOKUP(G212,Benchmarks!$A$2:$I$9,6,FALSE())</f>
        <v>8000</v>
      </c>
      <c r="T212" s="8" t="n">
        <f aca="false">R212*S212*Q212</f>
        <v>1600000</v>
      </c>
      <c r="U212" s="9" t="n">
        <f aca="false">VLOOKUP(F212,Backbones!$A$2:$G$5,6,FALSE())</f>
        <v>0.15</v>
      </c>
      <c r="V212" s="10" t="n">
        <f aca="false">T212/1000000*U212</f>
        <v>0.24</v>
      </c>
      <c r="W212" s="6" t="s">
        <v>59</v>
      </c>
      <c r="X212" s="6"/>
      <c r="Y212" s="6"/>
    </row>
    <row r="213" customFormat="false" ht="15" hidden="false" customHeight="false" outlineLevel="0" collapsed="false">
      <c r="A213" s="0" t="s">
        <v>305</v>
      </c>
      <c r="B213" s="11" t="s">
        <v>301</v>
      </c>
      <c r="C213" s="0" t="s">
        <v>51</v>
      </c>
      <c r="D213" s="0" t="s">
        <v>52</v>
      </c>
      <c r="E213" s="0" t="s">
        <v>142</v>
      </c>
      <c r="F213" s="0" t="s">
        <v>302</v>
      </c>
      <c r="G213" s="0" t="s">
        <v>63</v>
      </c>
      <c r="H213" s="0" t="n">
        <v>42</v>
      </c>
      <c r="I213" s="11" t="s">
        <v>56</v>
      </c>
      <c r="M213" s="0" t="s">
        <v>57</v>
      </c>
      <c r="N213" s="0" t="s">
        <v>58</v>
      </c>
      <c r="O213" s="0" t="s">
        <v>143</v>
      </c>
      <c r="P213" s="0" t="s">
        <v>144</v>
      </c>
      <c r="Q213" s="12" t="n">
        <f aca="false">VLOOKUP(E213,Conditions!$A$2:$I$13,6,FALSE())</f>
        <v>0.7</v>
      </c>
      <c r="R213" s="13" t="n">
        <f aca="false">VLOOKUP(G213,Benchmarks!$A$2:$I$9,5,FALSE())</f>
        <v>1273</v>
      </c>
      <c r="S213" s="13" t="n">
        <f aca="false">VLOOKUP(G213,Benchmarks!$A$2:$I$9,6,FALSE())</f>
        <v>5000</v>
      </c>
      <c r="T213" s="13" t="n">
        <f aca="false">R213*S213*Q213</f>
        <v>4455500</v>
      </c>
      <c r="U213" s="14" t="n">
        <f aca="false">VLOOKUP(F213,Backbones!$A$2:$G$5,6,FALSE())</f>
        <v>0.15</v>
      </c>
      <c r="V213" s="15" t="n">
        <f aca="false">T213/1000000*U213</f>
        <v>0.668325</v>
      </c>
      <c r="W213" s="11" t="s">
        <v>145</v>
      </c>
    </row>
    <row r="214" customFormat="false" ht="15" hidden="false" customHeight="false" outlineLevel="0" collapsed="false">
      <c r="A214" s="6" t="s">
        <v>306</v>
      </c>
      <c r="B214" s="6" t="s">
        <v>301</v>
      </c>
      <c r="C214" s="6" t="s">
        <v>51</v>
      </c>
      <c r="D214" s="6" t="s">
        <v>52</v>
      </c>
      <c r="E214" s="6" t="s">
        <v>142</v>
      </c>
      <c r="F214" s="6" t="s">
        <v>302</v>
      </c>
      <c r="G214" s="6" t="s">
        <v>71</v>
      </c>
      <c r="H214" s="6" t="n">
        <v>42</v>
      </c>
      <c r="I214" s="6" t="s">
        <v>56</v>
      </c>
      <c r="J214" s="6"/>
      <c r="K214" s="6"/>
      <c r="L214" s="6"/>
      <c r="M214" s="6" t="s">
        <v>57</v>
      </c>
      <c r="N214" s="6" t="s">
        <v>58</v>
      </c>
      <c r="O214" s="6" t="s">
        <v>143</v>
      </c>
      <c r="P214" s="6" t="s">
        <v>144</v>
      </c>
      <c r="Q214" s="7" t="n">
        <f aca="false">VLOOKUP(E214,Conditions!$A$2:$I$13,6,FALSE())</f>
        <v>0.7</v>
      </c>
      <c r="R214" s="8" t="n">
        <f aca="false">VLOOKUP(G214,Benchmarks!$A$2:$I$9,5,FALSE())</f>
        <v>500</v>
      </c>
      <c r="S214" s="8" t="n">
        <f aca="false">VLOOKUP(G214,Benchmarks!$A$2:$I$9,6,FALSE())</f>
        <v>5500</v>
      </c>
      <c r="T214" s="8" t="n">
        <f aca="false">R214*S214*Q214</f>
        <v>1925000</v>
      </c>
      <c r="U214" s="9" t="n">
        <f aca="false">VLOOKUP(F214,Backbones!$A$2:$G$5,6,FALSE())</f>
        <v>0.15</v>
      </c>
      <c r="V214" s="10" t="n">
        <f aca="false">T214/1000000*U214</f>
        <v>0.28875</v>
      </c>
      <c r="W214" s="6" t="s">
        <v>145</v>
      </c>
      <c r="X214" s="6"/>
      <c r="Y214" s="6"/>
    </row>
    <row r="215" customFormat="false" ht="15" hidden="false" customHeight="false" outlineLevel="0" collapsed="false">
      <c r="A215" s="0" t="s">
        <v>307</v>
      </c>
      <c r="B215" s="11" t="s">
        <v>301</v>
      </c>
      <c r="C215" s="0" t="s">
        <v>51</v>
      </c>
      <c r="D215" s="0" t="s">
        <v>52</v>
      </c>
      <c r="E215" s="0" t="s">
        <v>142</v>
      </c>
      <c r="F215" s="0" t="s">
        <v>302</v>
      </c>
      <c r="G215" s="0" t="s">
        <v>83</v>
      </c>
      <c r="H215" s="0" t="n">
        <v>42</v>
      </c>
      <c r="I215" s="11" t="s">
        <v>56</v>
      </c>
      <c r="M215" s="0" t="s">
        <v>57</v>
      </c>
      <c r="N215" s="0" t="s">
        <v>58</v>
      </c>
      <c r="O215" s="0" t="s">
        <v>143</v>
      </c>
      <c r="P215" s="0" t="s">
        <v>144</v>
      </c>
      <c r="Q215" s="12" t="n">
        <f aca="false">VLOOKUP(E215,Conditions!$A$2:$I$13,6,FALSE())</f>
        <v>0.7</v>
      </c>
      <c r="R215" s="13" t="n">
        <f aca="false">VLOOKUP(G215,Benchmarks!$A$2:$I$9,5,FALSE())</f>
        <v>200</v>
      </c>
      <c r="S215" s="13" t="n">
        <f aca="false">VLOOKUP(G215,Benchmarks!$A$2:$I$9,6,FALSE())</f>
        <v>8000</v>
      </c>
      <c r="T215" s="13" t="n">
        <f aca="false">R215*S215*Q215</f>
        <v>1120000</v>
      </c>
      <c r="U215" s="14" t="n">
        <f aca="false">VLOOKUP(F215,Backbones!$A$2:$G$5,6,FALSE())</f>
        <v>0.15</v>
      </c>
      <c r="V215" s="15" t="n">
        <f aca="false">T215/1000000*U215</f>
        <v>0.168</v>
      </c>
      <c r="W215" s="11" t="s">
        <v>145</v>
      </c>
    </row>
    <row r="216" customFormat="false" ht="15" hidden="false" customHeight="false" outlineLevel="0" collapsed="false">
      <c r="A216" s="6" t="s">
        <v>308</v>
      </c>
      <c r="B216" s="6" t="s">
        <v>301</v>
      </c>
      <c r="C216" s="6" t="s">
        <v>51</v>
      </c>
      <c r="D216" s="6" t="s">
        <v>52</v>
      </c>
      <c r="E216" s="6" t="s">
        <v>196</v>
      </c>
      <c r="F216" s="6" t="s">
        <v>302</v>
      </c>
      <c r="G216" s="6" t="s">
        <v>63</v>
      </c>
      <c r="H216" s="6" t="n">
        <v>42</v>
      </c>
      <c r="I216" s="6" t="s">
        <v>56</v>
      </c>
      <c r="J216" s="6"/>
      <c r="K216" s="6"/>
      <c r="L216" s="6"/>
      <c r="M216" s="6" t="s">
        <v>197</v>
      </c>
      <c r="N216" s="6" t="s">
        <v>58</v>
      </c>
      <c r="O216" s="6" t="s">
        <v>143</v>
      </c>
      <c r="P216" s="6" t="s">
        <v>92</v>
      </c>
      <c r="Q216" s="7" t="n">
        <f aca="false">VLOOKUP(E216,Conditions!$A$2:$I$13,6,FALSE())</f>
        <v>1.1</v>
      </c>
      <c r="R216" s="8" t="n">
        <f aca="false">VLOOKUP(G216,Benchmarks!$A$2:$I$9,5,FALSE())</f>
        <v>1273</v>
      </c>
      <c r="S216" s="8" t="n">
        <f aca="false">VLOOKUP(G216,Benchmarks!$A$2:$I$9,6,FALSE())</f>
        <v>5000</v>
      </c>
      <c r="T216" s="8" t="n">
        <f aca="false">R216*S216*Q216</f>
        <v>7001500</v>
      </c>
      <c r="U216" s="9" t="n">
        <f aca="false">VLOOKUP(F216,Backbones!$A$2:$G$5,6,FALSE())</f>
        <v>0.15</v>
      </c>
      <c r="V216" s="10" t="n">
        <f aca="false">T216/1000000*U216</f>
        <v>1.050225</v>
      </c>
      <c r="W216" s="6" t="s">
        <v>59</v>
      </c>
      <c r="X216" s="6"/>
      <c r="Y216" s="6"/>
    </row>
    <row r="217" customFormat="false" ht="15" hidden="false" customHeight="false" outlineLevel="0" collapsed="false">
      <c r="A217" s="0" t="s">
        <v>309</v>
      </c>
      <c r="B217" s="11" t="s">
        <v>301</v>
      </c>
      <c r="C217" s="0" t="s">
        <v>51</v>
      </c>
      <c r="D217" s="0" t="s">
        <v>52</v>
      </c>
      <c r="E217" s="0" t="s">
        <v>196</v>
      </c>
      <c r="F217" s="0" t="s">
        <v>302</v>
      </c>
      <c r="G217" s="0" t="s">
        <v>71</v>
      </c>
      <c r="H217" s="0" t="n">
        <v>42</v>
      </c>
      <c r="I217" s="11" t="s">
        <v>56</v>
      </c>
      <c r="M217" s="0" t="s">
        <v>197</v>
      </c>
      <c r="N217" s="0" t="s">
        <v>58</v>
      </c>
      <c r="O217" s="0" t="s">
        <v>143</v>
      </c>
      <c r="P217" s="0" t="s">
        <v>92</v>
      </c>
      <c r="Q217" s="12" t="n">
        <f aca="false">VLOOKUP(E217,Conditions!$A$2:$I$13,6,FALSE())</f>
        <v>1.1</v>
      </c>
      <c r="R217" s="13" t="n">
        <f aca="false">VLOOKUP(G217,Benchmarks!$A$2:$I$9,5,FALSE())</f>
        <v>500</v>
      </c>
      <c r="S217" s="13" t="n">
        <f aca="false">VLOOKUP(G217,Benchmarks!$A$2:$I$9,6,FALSE())</f>
        <v>5500</v>
      </c>
      <c r="T217" s="13" t="n">
        <f aca="false">R217*S217*Q217</f>
        <v>3025000</v>
      </c>
      <c r="U217" s="14" t="n">
        <f aca="false">VLOOKUP(F217,Backbones!$A$2:$G$5,6,FALSE())</f>
        <v>0.15</v>
      </c>
      <c r="V217" s="15" t="n">
        <f aca="false">T217/1000000*U217</f>
        <v>0.45375</v>
      </c>
      <c r="W217" s="11" t="s">
        <v>59</v>
      </c>
    </row>
    <row r="218" customFormat="false" ht="15" hidden="false" customHeight="false" outlineLevel="0" collapsed="false">
      <c r="A218" s="6" t="s">
        <v>310</v>
      </c>
      <c r="B218" s="6" t="s">
        <v>301</v>
      </c>
      <c r="C218" s="6" t="s">
        <v>51</v>
      </c>
      <c r="D218" s="6" t="s">
        <v>52</v>
      </c>
      <c r="E218" s="6" t="s">
        <v>196</v>
      </c>
      <c r="F218" s="6" t="s">
        <v>302</v>
      </c>
      <c r="G218" s="6" t="s">
        <v>83</v>
      </c>
      <c r="H218" s="6" t="n">
        <v>42</v>
      </c>
      <c r="I218" s="6" t="s">
        <v>56</v>
      </c>
      <c r="J218" s="6"/>
      <c r="K218" s="6"/>
      <c r="L218" s="6"/>
      <c r="M218" s="6" t="s">
        <v>197</v>
      </c>
      <c r="N218" s="6" t="s">
        <v>58</v>
      </c>
      <c r="O218" s="6" t="s">
        <v>143</v>
      </c>
      <c r="P218" s="6" t="s">
        <v>92</v>
      </c>
      <c r="Q218" s="7" t="n">
        <f aca="false">VLOOKUP(E218,Conditions!$A$2:$I$13,6,FALSE())</f>
        <v>1.1</v>
      </c>
      <c r="R218" s="8" t="n">
        <f aca="false">VLOOKUP(G218,Benchmarks!$A$2:$I$9,5,FALSE())</f>
        <v>200</v>
      </c>
      <c r="S218" s="8" t="n">
        <f aca="false">VLOOKUP(G218,Benchmarks!$A$2:$I$9,6,FALSE())</f>
        <v>8000</v>
      </c>
      <c r="T218" s="8" t="n">
        <f aca="false">R218*S218*Q218</f>
        <v>1760000</v>
      </c>
      <c r="U218" s="9" t="n">
        <f aca="false">VLOOKUP(F218,Backbones!$A$2:$G$5,6,FALSE())</f>
        <v>0.15</v>
      </c>
      <c r="V218" s="10" t="n">
        <f aca="false">T218/1000000*U218</f>
        <v>0.264</v>
      </c>
      <c r="W218" s="6" t="s">
        <v>59</v>
      </c>
      <c r="X218" s="6"/>
      <c r="Y218" s="6"/>
    </row>
    <row r="219" customFormat="false" ht="15" hidden="false" customHeight="false" outlineLevel="0" collapsed="false">
      <c r="A219" s="0" t="s">
        <v>311</v>
      </c>
      <c r="B219" s="11" t="s">
        <v>301</v>
      </c>
      <c r="C219" s="0" t="s">
        <v>251</v>
      </c>
      <c r="D219" s="0" t="s">
        <v>223</v>
      </c>
      <c r="E219" s="0" t="s">
        <v>252</v>
      </c>
      <c r="F219" s="0" t="s">
        <v>302</v>
      </c>
      <c r="G219" s="0" t="s">
        <v>63</v>
      </c>
      <c r="H219" s="0" t="n">
        <v>42</v>
      </c>
      <c r="I219" s="11" t="s">
        <v>56</v>
      </c>
      <c r="M219" s="0" t="s">
        <v>225</v>
      </c>
      <c r="N219" s="0" t="s">
        <v>253</v>
      </c>
      <c r="O219" s="0" t="s">
        <v>143</v>
      </c>
      <c r="P219" s="0" t="s">
        <v>226</v>
      </c>
      <c r="Q219" s="12" t="n">
        <f aca="false">VLOOKUP(E219,Conditions!$A$2:$I$13,6,FALSE())</f>
        <v>1.15</v>
      </c>
      <c r="R219" s="13" t="n">
        <f aca="false">VLOOKUP(G219,Benchmarks!$A$2:$I$9,5,FALSE())</f>
        <v>1273</v>
      </c>
      <c r="S219" s="13" t="n">
        <f aca="false">VLOOKUP(G219,Benchmarks!$A$2:$I$9,6,FALSE())</f>
        <v>5000</v>
      </c>
      <c r="T219" s="13" t="n">
        <f aca="false">R219*S219*Q219</f>
        <v>7319750</v>
      </c>
      <c r="U219" s="14" t="n">
        <f aca="false">VLOOKUP(F219,Backbones!$A$2:$G$5,6,FALSE())</f>
        <v>0.15</v>
      </c>
      <c r="V219" s="15" t="n">
        <f aca="false">T219/1000000*U219</f>
        <v>1.0979625</v>
      </c>
      <c r="W219" s="11" t="s">
        <v>254</v>
      </c>
    </row>
    <row r="220" customFormat="false" ht="15" hidden="false" customHeight="false" outlineLevel="0" collapsed="false">
      <c r="A220" s="6" t="s">
        <v>312</v>
      </c>
      <c r="B220" s="6" t="s">
        <v>301</v>
      </c>
      <c r="C220" s="6" t="s">
        <v>251</v>
      </c>
      <c r="D220" s="6" t="s">
        <v>223</v>
      </c>
      <c r="E220" s="6" t="s">
        <v>252</v>
      </c>
      <c r="F220" s="6" t="s">
        <v>302</v>
      </c>
      <c r="G220" s="6" t="s">
        <v>71</v>
      </c>
      <c r="H220" s="6" t="n">
        <v>42</v>
      </c>
      <c r="I220" s="6" t="s">
        <v>56</v>
      </c>
      <c r="J220" s="6"/>
      <c r="K220" s="6"/>
      <c r="L220" s="6"/>
      <c r="M220" s="6" t="s">
        <v>225</v>
      </c>
      <c r="N220" s="6" t="s">
        <v>253</v>
      </c>
      <c r="O220" s="6" t="s">
        <v>143</v>
      </c>
      <c r="P220" s="6" t="s">
        <v>226</v>
      </c>
      <c r="Q220" s="7" t="n">
        <f aca="false">VLOOKUP(E220,Conditions!$A$2:$I$13,6,FALSE())</f>
        <v>1.15</v>
      </c>
      <c r="R220" s="8" t="n">
        <f aca="false">VLOOKUP(G220,Benchmarks!$A$2:$I$9,5,FALSE())</f>
        <v>500</v>
      </c>
      <c r="S220" s="8" t="n">
        <f aca="false">VLOOKUP(G220,Benchmarks!$A$2:$I$9,6,FALSE())</f>
        <v>5500</v>
      </c>
      <c r="T220" s="8" t="n">
        <f aca="false">R220*S220*Q220</f>
        <v>3162500</v>
      </c>
      <c r="U220" s="9" t="n">
        <f aca="false">VLOOKUP(F220,Backbones!$A$2:$G$5,6,FALSE())</f>
        <v>0.15</v>
      </c>
      <c r="V220" s="10" t="n">
        <f aca="false">T220/1000000*U220</f>
        <v>0.474375</v>
      </c>
      <c r="W220" s="6" t="s">
        <v>254</v>
      </c>
      <c r="X220" s="6"/>
      <c r="Y220" s="6"/>
    </row>
    <row r="221" customFormat="false" ht="15" hidden="false" customHeight="false" outlineLevel="0" collapsed="false">
      <c r="A221" s="0" t="s">
        <v>313</v>
      </c>
      <c r="B221" s="11" t="s">
        <v>301</v>
      </c>
      <c r="C221" s="0" t="s">
        <v>251</v>
      </c>
      <c r="D221" s="0" t="s">
        <v>223</v>
      </c>
      <c r="E221" s="0" t="s">
        <v>252</v>
      </c>
      <c r="F221" s="0" t="s">
        <v>302</v>
      </c>
      <c r="G221" s="0" t="s">
        <v>83</v>
      </c>
      <c r="H221" s="0" t="n">
        <v>42</v>
      </c>
      <c r="I221" s="11" t="s">
        <v>56</v>
      </c>
      <c r="M221" s="0" t="s">
        <v>225</v>
      </c>
      <c r="N221" s="0" t="s">
        <v>253</v>
      </c>
      <c r="O221" s="0" t="s">
        <v>143</v>
      </c>
      <c r="P221" s="0" t="s">
        <v>226</v>
      </c>
      <c r="Q221" s="12" t="n">
        <f aca="false">VLOOKUP(E221,Conditions!$A$2:$I$13,6,FALSE())</f>
        <v>1.15</v>
      </c>
      <c r="R221" s="13" t="n">
        <f aca="false">VLOOKUP(G221,Benchmarks!$A$2:$I$9,5,FALSE())</f>
        <v>200</v>
      </c>
      <c r="S221" s="13" t="n">
        <f aca="false">VLOOKUP(G221,Benchmarks!$A$2:$I$9,6,FALSE())</f>
        <v>8000</v>
      </c>
      <c r="T221" s="13" t="n">
        <f aca="false">R221*S221*Q221</f>
        <v>1840000</v>
      </c>
      <c r="U221" s="14" t="n">
        <f aca="false">VLOOKUP(F221,Backbones!$A$2:$G$5,6,FALSE())</f>
        <v>0.15</v>
      </c>
      <c r="V221" s="15" t="n">
        <f aca="false">T221/1000000*U221</f>
        <v>0.276</v>
      </c>
      <c r="W221" s="11" t="s">
        <v>254</v>
      </c>
    </row>
    <row r="222" customFormat="false" ht="15" hidden="false" customHeight="false" outlineLevel="0" collapsed="false">
      <c r="A222" s="6" t="s">
        <v>314</v>
      </c>
      <c r="B222" s="6" t="s">
        <v>301</v>
      </c>
      <c r="C222" s="6" t="s">
        <v>51</v>
      </c>
      <c r="D222" s="6" t="s">
        <v>52</v>
      </c>
      <c r="E222" s="6" t="s">
        <v>117</v>
      </c>
      <c r="F222" s="6" t="s">
        <v>315</v>
      </c>
      <c r="G222" s="6" t="s">
        <v>63</v>
      </c>
      <c r="H222" s="6" t="n">
        <v>42</v>
      </c>
      <c r="I222" s="6" t="s">
        <v>56</v>
      </c>
      <c r="J222" s="6"/>
      <c r="K222" s="6"/>
      <c r="L222" s="6"/>
      <c r="M222" s="6" t="s">
        <v>57</v>
      </c>
      <c r="N222" s="6" t="s">
        <v>58</v>
      </c>
      <c r="O222" s="6" t="s">
        <v>58</v>
      </c>
      <c r="P222" s="6" t="s">
        <v>92</v>
      </c>
      <c r="Q222" s="7" t="n">
        <f aca="false">VLOOKUP(E222,Conditions!$A$2:$I$13,6,FALSE())</f>
        <v>1</v>
      </c>
      <c r="R222" s="8" t="n">
        <f aca="false">VLOOKUP(G222,Benchmarks!$A$2:$I$9,5,FALSE())</f>
        <v>1273</v>
      </c>
      <c r="S222" s="8" t="n">
        <f aca="false">VLOOKUP(G222,Benchmarks!$A$2:$I$9,6,FALSE())</f>
        <v>5000</v>
      </c>
      <c r="T222" s="8" t="n">
        <f aca="false">R222*S222*Q222</f>
        <v>6365000</v>
      </c>
      <c r="U222" s="9" t="n">
        <f aca="false">VLOOKUP(F222,Backbones!$A$2:$G$5,6,FALSE())</f>
        <v>0.2</v>
      </c>
      <c r="V222" s="10" t="n">
        <f aca="false">T222/1000000*U222</f>
        <v>1.273</v>
      </c>
      <c r="W222" s="6" t="s">
        <v>59</v>
      </c>
      <c r="X222" s="6"/>
      <c r="Y222" s="6"/>
    </row>
    <row r="223" customFormat="false" ht="15" hidden="false" customHeight="false" outlineLevel="0" collapsed="false">
      <c r="A223" s="0" t="s">
        <v>316</v>
      </c>
      <c r="B223" s="11" t="s">
        <v>301</v>
      </c>
      <c r="C223" s="0" t="s">
        <v>51</v>
      </c>
      <c r="D223" s="0" t="s">
        <v>52</v>
      </c>
      <c r="E223" s="0" t="s">
        <v>117</v>
      </c>
      <c r="F223" s="0" t="s">
        <v>315</v>
      </c>
      <c r="G223" s="0" t="s">
        <v>71</v>
      </c>
      <c r="H223" s="0" t="n">
        <v>42</v>
      </c>
      <c r="I223" s="11" t="s">
        <v>56</v>
      </c>
      <c r="M223" s="0" t="s">
        <v>57</v>
      </c>
      <c r="N223" s="0" t="s">
        <v>58</v>
      </c>
      <c r="O223" s="0" t="s">
        <v>58</v>
      </c>
      <c r="P223" s="0" t="s">
        <v>92</v>
      </c>
      <c r="Q223" s="12" t="n">
        <f aca="false">VLOOKUP(E223,Conditions!$A$2:$I$13,6,FALSE())</f>
        <v>1</v>
      </c>
      <c r="R223" s="13" t="n">
        <f aca="false">VLOOKUP(G223,Benchmarks!$A$2:$I$9,5,FALSE())</f>
        <v>500</v>
      </c>
      <c r="S223" s="13" t="n">
        <f aca="false">VLOOKUP(G223,Benchmarks!$A$2:$I$9,6,FALSE())</f>
        <v>5500</v>
      </c>
      <c r="T223" s="13" t="n">
        <f aca="false">R223*S223*Q223</f>
        <v>2750000</v>
      </c>
      <c r="U223" s="14" t="n">
        <f aca="false">VLOOKUP(F223,Backbones!$A$2:$G$5,6,FALSE())</f>
        <v>0.2</v>
      </c>
      <c r="V223" s="15" t="n">
        <f aca="false">T223/1000000*U223</f>
        <v>0.55</v>
      </c>
      <c r="W223" s="11" t="s">
        <v>59</v>
      </c>
    </row>
    <row r="224" customFormat="false" ht="15" hidden="false" customHeight="false" outlineLevel="0" collapsed="false">
      <c r="A224" s="6" t="s">
        <v>317</v>
      </c>
      <c r="B224" s="6" t="s">
        <v>301</v>
      </c>
      <c r="C224" s="6" t="s">
        <v>51</v>
      </c>
      <c r="D224" s="6" t="s">
        <v>52</v>
      </c>
      <c r="E224" s="6" t="s">
        <v>117</v>
      </c>
      <c r="F224" s="6" t="s">
        <v>315</v>
      </c>
      <c r="G224" s="6" t="s">
        <v>83</v>
      </c>
      <c r="H224" s="6" t="n">
        <v>42</v>
      </c>
      <c r="I224" s="6" t="s">
        <v>56</v>
      </c>
      <c r="J224" s="6"/>
      <c r="K224" s="6"/>
      <c r="L224" s="6"/>
      <c r="M224" s="6" t="s">
        <v>57</v>
      </c>
      <c r="N224" s="6" t="s">
        <v>58</v>
      </c>
      <c r="O224" s="6" t="s">
        <v>58</v>
      </c>
      <c r="P224" s="6" t="s">
        <v>92</v>
      </c>
      <c r="Q224" s="7" t="n">
        <f aca="false">VLOOKUP(E224,Conditions!$A$2:$I$13,6,FALSE())</f>
        <v>1</v>
      </c>
      <c r="R224" s="8" t="n">
        <f aca="false">VLOOKUP(G224,Benchmarks!$A$2:$I$9,5,FALSE())</f>
        <v>200</v>
      </c>
      <c r="S224" s="8" t="n">
        <f aca="false">VLOOKUP(G224,Benchmarks!$A$2:$I$9,6,FALSE())</f>
        <v>8000</v>
      </c>
      <c r="T224" s="8" t="n">
        <f aca="false">R224*S224*Q224</f>
        <v>1600000</v>
      </c>
      <c r="U224" s="9" t="n">
        <f aca="false">VLOOKUP(F224,Backbones!$A$2:$G$5,6,FALSE())</f>
        <v>0.2</v>
      </c>
      <c r="V224" s="10" t="n">
        <f aca="false">T224/1000000*U224</f>
        <v>0.32</v>
      </c>
      <c r="W224" s="6" t="s">
        <v>59</v>
      </c>
      <c r="X224" s="6"/>
      <c r="Y224" s="6"/>
    </row>
    <row r="225" customFormat="false" ht="15" hidden="false" customHeight="false" outlineLevel="0" collapsed="false">
      <c r="A225" s="0" t="s">
        <v>318</v>
      </c>
      <c r="B225" s="11" t="s">
        <v>301</v>
      </c>
      <c r="C225" s="0" t="s">
        <v>51</v>
      </c>
      <c r="D225" s="0" t="s">
        <v>52</v>
      </c>
      <c r="E225" s="0" t="s">
        <v>142</v>
      </c>
      <c r="F225" s="0" t="s">
        <v>315</v>
      </c>
      <c r="G225" s="0" t="s">
        <v>63</v>
      </c>
      <c r="H225" s="0" t="n">
        <v>42</v>
      </c>
      <c r="I225" s="11" t="s">
        <v>56</v>
      </c>
      <c r="M225" s="0" t="s">
        <v>57</v>
      </c>
      <c r="N225" s="0" t="s">
        <v>58</v>
      </c>
      <c r="O225" s="0" t="s">
        <v>143</v>
      </c>
      <c r="P225" s="0" t="s">
        <v>144</v>
      </c>
      <c r="Q225" s="12" t="n">
        <f aca="false">VLOOKUP(E225,Conditions!$A$2:$I$13,6,FALSE())</f>
        <v>0.7</v>
      </c>
      <c r="R225" s="13" t="n">
        <f aca="false">VLOOKUP(G225,Benchmarks!$A$2:$I$9,5,FALSE())</f>
        <v>1273</v>
      </c>
      <c r="S225" s="13" t="n">
        <f aca="false">VLOOKUP(G225,Benchmarks!$A$2:$I$9,6,FALSE())</f>
        <v>5000</v>
      </c>
      <c r="T225" s="13" t="n">
        <f aca="false">R225*S225*Q225</f>
        <v>4455500</v>
      </c>
      <c r="U225" s="14" t="n">
        <f aca="false">VLOOKUP(F225,Backbones!$A$2:$G$5,6,FALSE())</f>
        <v>0.2</v>
      </c>
      <c r="V225" s="15" t="n">
        <f aca="false">T225/1000000*U225</f>
        <v>0.8911</v>
      </c>
      <c r="W225" s="11" t="s">
        <v>145</v>
      </c>
    </row>
    <row r="226" customFormat="false" ht="15" hidden="false" customHeight="false" outlineLevel="0" collapsed="false">
      <c r="A226" s="6" t="s">
        <v>319</v>
      </c>
      <c r="B226" s="6" t="s">
        <v>301</v>
      </c>
      <c r="C226" s="6" t="s">
        <v>51</v>
      </c>
      <c r="D226" s="6" t="s">
        <v>52</v>
      </c>
      <c r="E226" s="6" t="s">
        <v>142</v>
      </c>
      <c r="F226" s="6" t="s">
        <v>315</v>
      </c>
      <c r="G226" s="6" t="s">
        <v>71</v>
      </c>
      <c r="H226" s="6" t="n">
        <v>42</v>
      </c>
      <c r="I226" s="6" t="s">
        <v>56</v>
      </c>
      <c r="J226" s="6"/>
      <c r="K226" s="6"/>
      <c r="L226" s="6"/>
      <c r="M226" s="6" t="s">
        <v>57</v>
      </c>
      <c r="N226" s="6" t="s">
        <v>58</v>
      </c>
      <c r="O226" s="6" t="s">
        <v>143</v>
      </c>
      <c r="P226" s="6" t="s">
        <v>144</v>
      </c>
      <c r="Q226" s="7" t="n">
        <f aca="false">VLOOKUP(E226,Conditions!$A$2:$I$13,6,FALSE())</f>
        <v>0.7</v>
      </c>
      <c r="R226" s="8" t="n">
        <f aca="false">VLOOKUP(G226,Benchmarks!$A$2:$I$9,5,FALSE())</f>
        <v>500</v>
      </c>
      <c r="S226" s="8" t="n">
        <f aca="false">VLOOKUP(G226,Benchmarks!$A$2:$I$9,6,FALSE())</f>
        <v>5500</v>
      </c>
      <c r="T226" s="8" t="n">
        <f aca="false">R226*S226*Q226</f>
        <v>1925000</v>
      </c>
      <c r="U226" s="9" t="n">
        <f aca="false">VLOOKUP(F226,Backbones!$A$2:$G$5,6,FALSE())</f>
        <v>0.2</v>
      </c>
      <c r="V226" s="10" t="n">
        <f aca="false">T226/1000000*U226</f>
        <v>0.385</v>
      </c>
      <c r="W226" s="6" t="s">
        <v>145</v>
      </c>
      <c r="X226" s="6"/>
      <c r="Y226" s="6"/>
    </row>
    <row r="227" customFormat="false" ht="15" hidden="false" customHeight="false" outlineLevel="0" collapsed="false">
      <c r="A227" s="0" t="s">
        <v>320</v>
      </c>
      <c r="B227" s="11" t="s">
        <v>301</v>
      </c>
      <c r="C227" s="0" t="s">
        <v>51</v>
      </c>
      <c r="D227" s="0" t="s">
        <v>52</v>
      </c>
      <c r="E227" s="0" t="s">
        <v>142</v>
      </c>
      <c r="F227" s="0" t="s">
        <v>315</v>
      </c>
      <c r="G227" s="0" t="s">
        <v>83</v>
      </c>
      <c r="H227" s="0" t="n">
        <v>42</v>
      </c>
      <c r="I227" s="11" t="s">
        <v>56</v>
      </c>
      <c r="M227" s="0" t="s">
        <v>57</v>
      </c>
      <c r="N227" s="0" t="s">
        <v>58</v>
      </c>
      <c r="O227" s="0" t="s">
        <v>143</v>
      </c>
      <c r="P227" s="0" t="s">
        <v>144</v>
      </c>
      <c r="Q227" s="12" t="n">
        <f aca="false">VLOOKUP(E227,Conditions!$A$2:$I$13,6,FALSE())</f>
        <v>0.7</v>
      </c>
      <c r="R227" s="13" t="n">
        <f aca="false">VLOOKUP(G227,Benchmarks!$A$2:$I$9,5,FALSE())</f>
        <v>200</v>
      </c>
      <c r="S227" s="13" t="n">
        <f aca="false">VLOOKUP(G227,Benchmarks!$A$2:$I$9,6,FALSE())</f>
        <v>8000</v>
      </c>
      <c r="T227" s="13" t="n">
        <f aca="false">R227*S227*Q227</f>
        <v>1120000</v>
      </c>
      <c r="U227" s="14" t="n">
        <f aca="false">VLOOKUP(F227,Backbones!$A$2:$G$5,6,FALSE())</f>
        <v>0.2</v>
      </c>
      <c r="V227" s="15" t="n">
        <f aca="false">T227/1000000*U227</f>
        <v>0.224</v>
      </c>
      <c r="W227" s="11" t="s">
        <v>145</v>
      </c>
    </row>
    <row r="228" customFormat="false" ht="15" hidden="false" customHeight="false" outlineLevel="0" collapsed="false">
      <c r="A228" s="6" t="s">
        <v>321</v>
      </c>
      <c r="B228" s="6" t="s">
        <v>301</v>
      </c>
      <c r="C228" s="6" t="s">
        <v>51</v>
      </c>
      <c r="D228" s="6" t="s">
        <v>52</v>
      </c>
      <c r="E228" s="6" t="s">
        <v>196</v>
      </c>
      <c r="F228" s="6" t="s">
        <v>315</v>
      </c>
      <c r="G228" s="6" t="s">
        <v>63</v>
      </c>
      <c r="H228" s="6" t="n">
        <v>42</v>
      </c>
      <c r="I228" s="6" t="s">
        <v>56</v>
      </c>
      <c r="J228" s="6"/>
      <c r="K228" s="6"/>
      <c r="L228" s="6"/>
      <c r="M228" s="6" t="s">
        <v>197</v>
      </c>
      <c r="N228" s="6" t="s">
        <v>58</v>
      </c>
      <c r="O228" s="6" t="s">
        <v>143</v>
      </c>
      <c r="P228" s="6" t="s">
        <v>92</v>
      </c>
      <c r="Q228" s="7" t="n">
        <f aca="false">VLOOKUP(E228,Conditions!$A$2:$I$13,6,FALSE())</f>
        <v>1.1</v>
      </c>
      <c r="R228" s="8" t="n">
        <f aca="false">VLOOKUP(G228,Benchmarks!$A$2:$I$9,5,FALSE())</f>
        <v>1273</v>
      </c>
      <c r="S228" s="8" t="n">
        <f aca="false">VLOOKUP(G228,Benchmarks!$A$2:$I$9,6,FALSE())</f>
        <v>5000</v>
      </c>
      <c r="T228" s="8" t="n">
        <f aca="false">R228*S228*Q228</f>
        <v>7001500</v>
      </c>
      <c r="U228" s="9" t="n">
        <f aca="false">VLOOKUP(F228,Backbones!$A$2:$G$5,6,FALSE())</f>
        <v>0.2</v>
      </c>
      <c r="V228" s="10" t="n">
        <f aca="false">T228/1000000*U228</f>
        <v>1.4003</v>
      </c>
      <c r="W228" s="6" t="s">
        <v>59</v>
      </c>
      <c r="X228" s="6"/>
      <c r="Y228" s="6"/>
    </row>
    <row r="229" customFormat="false" ht="15" hidden="false" customHeight="false" outlineLevel="0" collapsed="false">
      <c r="A229" s="0" t="s">
        <v>322</v>
      </c>
      <c r="B229" s="11" t="s">
        <v>301</v>
      </c>
      <c r="C229" s="0" t="s">
        <v>51</v>
      </c>
      <c r="D229" s="0" t="s">
        <v>52</v>
      </c>
      <c r="E229" s="0" t="s">
        <v>196</v>
      </c>
      <c r="F229" s="0" t="s">
        <v>315</v>
      </c>
      <c r="G229" s="0" t="s">
        <v>71</v>
      </c>
      <c r="H229" s="0" t="n">
        <v>42</v>
      </c>
      <c r="I229" s="11" t="s">
        <v>56</v>
      </c>
      <c r="M229" s="0" t="s">
        <v>197</v>
      </c>
      <c r="N229" s="0" t="s">
        <v>58</v>
      </c>
      <c r="O229" s="0" t="s">
        <v>143</v>
      </c>
      <c r="P229" s="0" t="s">
        <v>92</v>
      </c>
      <c r="Q229" s="12" t="n">
        <f aca="false">VLOOKUP(E229,Conditions!$A$2:$I$13,6,FALSE())</f>
        <v>1.1</v>
      </c>
      <c r="R229" s="13" t="n">
        <f aca="false">VLOOKUP(G229,Benchmarks!$A$2:$I$9,5,FALSE())</f>
        <v>500</v>
      </c>
      <c r="S229" s="13" t="n">
        <f aca="false">VLOOKUP(G229,Benchmarks!$A$2:$I$9,6,FALSE())</f>
        <v>5500</v>
      </c>
      <c r="T229" s="13" t="n">
        <f aca="false">R229*S229*Q229</f>
        <v>3025000</v>
      </c>
      <c r="U229" s="14" t="n">
        <f aca="false">VLOOKUP(F229,Backbones!$A$2:$G$5,6,FALSE())</f>
        <v>0.2</v>
      </c>
      <c r="V229" s="15" t="n">
        <f aca="false">T229/1000000*U229</f>
        <v>0.605</v>
      </c>
      <c r="W229" s="11" t="s">
        <v>59</v>
      </c>
    </row>
    <row r="230" customFormat="false" ht="15" hidden="false" customHeight="false" outlineLevel="0" collapsed="false">
      <c r="A230" s="6" t="s">
        <v>323</v>
      </c>
      <c r="B230" s="6" t="s">
        <v>301</v>
      </c>
      <c r="C230" s="6" t="s">
        <v>51</v>
      </c>
      <c r="D230" s="6" t="s">
        <v>52</v>
      </c>
      <c r="E230" s="6" t="s">
        <v>196</v>
      </c>
      <c r="F230" s="6" t="s">
        <v>315</v>
      </c>
      <c r="G230" s="6" t="s">
        <v>83</v>
      </c>
      <c r="H230" s="6" t="n">
        <v>42</v>
      </c>
      <c r="I230" s="6" t="s">
        <v>56</v>
      </c>
      <c r="J230" s="6"/>
      <c r="K230" s="6"/>
      <c r="L230" s="6"/>
      <c r="M230" s="6" t="s">
        <v>197</v>
      </c>
      <c r="N230" s="6" t="s">
        <v>58</v>
      </c>
      <c r="O230" s="6" t="s">
        <v>143</v>
      </c>
      <c r="P230" s="6" t="s">
        <v>92</v>
      </c>
      <c r="Q230" s="7" t="n">
        <f aca="false">VLOOKUP(E230,Conditions!$A$2:$I$13,6,FALSE())</f>
        <v>1.1</v>
      </c>
      <c r="R230" s="8" t="n">
        <f aca="false">VLOOKUP(G230,Benchmarks!$A$2:$I$9,5,FALSE())</f>
        <v>200</v>
      </c>
      <c r="S230" s="8" t="n">
        <f aca="false">VLOOKUP(G230,Benchmarks!$A$2:$I$9,6,FALSE())</f>
        <v>8000</v>
      </c>
      <c r="T230" s="8" t="n">
        <f aca="false">R230*S230*Q230</f>
        <v>1760000</v>
      </c>
      <c r="U230" s="9" t="n">
        <f aca="false">VLOOKUP(F230,Backbones!$A$2:$G$5,6,FALSE())</f>
        <v>0.2</v>
      </c>
      <c r="V230" s="10" t="n">
        <f aca="false">T230/1000000*U230</f>
        <v>0.352</v>
      </c>
      <c r="W230" s="6" t="s">
        <v>59</v>
      </c>
      <c r="X230" s="6"/>
      <c r="Y230" s="6"/>
    </row>
    <row r="231" customFormat="false" ht="15" hidden="false" customHeight="false" outlineLevel="0" collapsed="false">
      <c r="A231" s="0" t="s">
        <v>324</v>
      </c>
      <c r="B231" s="11" t="s">
        <v>301</v>
      </c>
      <c r="C231" s="0" t="s">
        <v>251</v>
      </c>
      <c r="D231" s="0" t="s">
        <v>223</v>
      </c>
      <c r="E231" s="0" t="s">
        <v>252</v>
      </c>
      <c r="F231" s="0" t="s">
        <v>315</v>
      </c>
      <c r="G231" s="0" t="s">
        <v>63</v>
      </c>
      <c r="H231" s="0" t="n">
        <v>42</v>
      </c>
      <c r="I231" s="11" t="s">
        <v>56</v>
      </c>
      <c r="M231" s="0" t="s">
        <v>225</v>
      </c>
      <c r="N231" s="0" t="s">
        <v>253</v>
      </c>
      <c r="O231" s="0" t="s">
        <v>143</v>
      </c>
      <c r="P231" s="0" t="s">
        <v>226</v>
      </c>
      <c r="Q231" s="12" t="n">
        <f aca="false">VLOOKUP(E231,Conditions!$A$2:$I$13,6,FALSE())</f>
        <v>1.15</v>
      </c>
      <c r="R231" s="13" t="n">
        <f aca="false">VLOOKUP(G231,Benchmarks!$A$2:$I$9,5,FALSE())</f>
        <v>1273</v>
      </c>
      <c r="S231" s="13" t="n">
        <f aca="false">VLOOKUP(G231,Benchmarks!$A$2:$I$9,6,FALSE())</f>
        <v>5000</v>
      </c>
      <c r="T231" s="13" t="n">
        <f aca="false">R231*S231*Q231</f>
        <v>7319750</v>
      </c>
      <c r="U231" s="14" t="n">
        <f aca="false">VLOOKUP(F231,Backbones!$A$2:$G$5,6,FALSE())</f>
        <v>0.2</v>
      </c>
      <c r="V231" s="15" t="n">
        <f aca="false">T231/1000000*U231</f>
        <v>1.46395</v>
      </c>
      <c r="W231" s="11" t="s">
        <v>254</v>
      </c>
    </row>
    <row r="232" customFormat="false" ht="15" hidden="false" customHeight="false" outlineLevel="0" collapsed="false">
      <c r="A232" s="6" t="s">
        <v>325</v>
      </c>
      <c r="B232" s="6" t="s">
        <v>301</v>
      </c>
      <c r="C232" s="6" t="s">
        <v>251</v>
      </c>
      <c r="D232" s="6" t="s">
        <v>223</v>
      </c>
      <c r="E232" s="6" t="s">
        <v>252</v>
      </c>
      <c r="F232" s="6" t="s">
        <v>315</v>
      </c>
      <c r="G232" s="6" t="s">
        <v>71</v>
      </c>
      <c r="H232" s="6" t="n">
        <v>42</v>
      </c>
      <c r="I232" s="6" t="s">
        <v>56</v>
      </c>
      <c r="J232" s="6"/>
      <c r="K232" s="6"/>
      <c r="L232" s="6"/>
      <c r="M232" s="6" t="s">
        <v>225</v>
      </c>
      <c r="N232" s="6" t="s">
        <v>253</v>
      </c>
      <c r="O232" s="6" t="s">
        <v>143</v>
      </c>
      <c r="P232" s="6" t="s">
        <v>226</v>
      </c>
      <c r="Q232" s="7" t="n">
        <f aca="false">VLOOKUP(E232,Conditions!$A$2:$I$13,6,FALSE())</f>
        <v>1.15</v>
      </c>
      <c r="R232" s="8" t="n">
        <f aca="false">VLOOKUP(G232,Benchmarks!$A$2:$I$9,5,FALSE())</f>
        <v>500</v>
      </c>
      <c r="S232" s="8" t="n">
        <f aca="false">VLOOKUP(G232,Benchmarks!$A$2:$I$9,6,FALSE())</f>
        <v>5500</v>
      </c>
      <c r="T232" s="8" t="n">
        <f aca="false">R232*S232*Q232</f>
        <v>3162500</v>
      </c>
      <c r="U232" s="9" t="n">
        <f aca="false">VLOOKUP(F232,Backbones!$A$2:$G$5,6,FALSE())</f>
        <v>0.2</v>
      </c>
      <c r="V232" s="10" t="n">
        <f aca="false">T232/1000000*U232</f>
        <v>0.6325</v>
      </c>
      <c r="W232" s="6" t="s">
        <v>254</v>
      </c>
      <c r="X232" s="6"/>
      <c r="Y232" s="6"/>
    </row>
    <row r="233" customFormat="false" ht="15" hidden="false" customHeight="false" outlineLevel="0" collapsed="false">
      <c r="A233" s="0" t="s">
        <v>326</v>
      </c>
      <c r="B233" s="11" t="s">
        <v>301</v>
      </c>
      <c r="C233" s="0" t="s">
        <v>251</v>
      </c>
      <c r="D233" s="0" t="s">
        <v>223</v>
      </c>
      <c r="E233" s="0" t="s">
        <v>252</v>
      </c>
      <c r="F233" s="0" t="s">
        <v>315</v>
      </c>
      <c r="G233" s="0" t="s">
        <v>83</v>
      </c>
      <c r="H233" s="0" t="n">
        <v>42</v>
      </c>
      <c r="I233" s="11" t="s">
        <v>56</v>
      </c>
      <c r="M233" s="0" t="s">
        <v>225</v>
      </c>
      <c r="N233" s="0" t="s">
        <v>253</v>
      </c>
      <c r="O233" s="0" t="s">
        <v>143</v>
      </c>
      <c r="P233" s="0" t="s">
        <v>226</v>
      </c>
      <c r="Q233" s="12" t="n">
        <f aca="false">VLOOKUP(E233,Conditions!$A$2:$I$13,6,FALSE())</f>
        <v>1.15</v>
      </c>
      <c r="R233" s="13" t="n">
        <f aca="false">VLOOKUP(G233,Benchmarks!$A$2:$I$9,5,FALSE())</f>
        <v>200</v>
      </c>
      <c r="S233" s="13" t="n">
        <f aca="false">VLOOKUP(G233,Benchmarks!$A$2:$I$9,6,FALSE())</f>
        <v>8000</v>
      </c>
      <c r="T233" s="13" t="n">
        <f aca="false">R233*S233*Q233</f>
        <v>1840000</v>
      </c>
      <c r="U233" s="14" t="n">
        <f aca="false">VLOOKUP(F233,Backbones!$A$2:$G$5,6,FALSE())</f>
        <v>0.2</v>
      </c>
      <c r="V233" s="15" t="n">
        <f aca="false">T233/1000000*U233</f>
        <v>0.368</v>
      </c>
      <c r="W233" s="11" t="s">
        <v>254</v>
      </c>
    </row>
    <row r="234" customFormat="false" ht="15" hidden="false" customHeight="false" outlineLevel="0" collapsed="false">
      <c r="A234" s="6" t="s">
        <v>327</v>
      </c>
      <c r="B234" s="6" t="s">
        <v>301</v>
      </c>
      <c r="C234" s="6" t="s">
        <v>51</v>
      </c>
      <c r="D234" s="6" t="s">
        <v>52</v>
      </c>
      <c r="E234" s="6" t="s">
        <v>117</v>
      </c>
      <c r="F234" s="6" t="s">
        <v>328</v>
      </c>
      <c r="G234" s="6" t="s">
        <v>63</v>
      </c>
      <c r="H234" s="6" t="n">
        <v>42</v>
      </c>
      <c r="I234" s="6" t="s">
        <v>56</v>
      </c>
      <c r="J234" s="6"/>
      <c r="K234" s="6"/>
      <c r="L234" s="6"/>
      <c r="M234" s="6" t="s">
        <v>57</v>
      </c>
      <c r="N234" s="6" t="s">
        <v>58</v>
      </c>
      <c r="O234" s="6" t="s">
        <v>58</v>
      </c>
      <c r="P234" s="6" t="s">
        <v>92</v>
      </c>
      <c r="Q234" s="7" t="n">
        <f aca="false">VLOOKUP(E234,Conditions!$A$2:$I$13,6,FALSE())</f>
        <v>1</v>
      </c>
      <c r="R234" s="8" t="n">
        <f aca="false">VLOOKUP(G234,Benchmarks!$A$2:$I$9,5,FALSE())</f>
        <v>1273</v>
      </c>
      <c r="S234" s="8" t="n">
        <f aca="false">VLOOKUP(G234,Benchmarks!$A$2:$I$9,6,FALSE())</f>
        <v>5000</v>
      </c>
      <c r="T234" s="8" t="n">
        <f aca="false">R234*S234*Q234</f>
        <v>6365000</v>
      </c>
      <c r="U234" s="9" t="n">
        <f aca="false">VLOOKUP(F234,Backbones!$A$2:$G$5,6,FALSE())</f>
        <v>0.1</v>
      </c>
      <c r="V234" s="10" t="n">
        <f aca="false">T234/1000000*U234</f>
        <v>0.6365</v>
      </c>
      <c r="W234" s="6" t="s">
        <v>59</v>
      </c>
      <c r="X234" s="6"/>
      <c r="Y234" s="6"/>
    </row>
    <row r="235" customFormat="false" ht="15" hidden="false" customHeight="false" outlineLevel="0" collapsed="false">
      <c r="A235" s="0" t="s">
        <v>329</v>
      </c>
      <c r="B235" s="11" t="s">
        <v>301</v>
      </c>
      <c r="C235" s="0" t="s">
        <v>51</v>
      </c>
      <c r="D235" s="0" t="s">
        <v>52</v>
      </c>
      <c r="E235" s="0" t="s">
        <v>117</v>
      </c>
      <c r="F235" s="0" t="s">
        <v>328</v>
      </c>
      <c r="G235" s="0" t="s">
        <v>71</v>
      </c>
      <c r="H235" s="0" t="n">
        <v>42</v>
      </c>
      <c r="I235" s="11" t="s">
        <v>56</v>
      </c>
      <c r="M235" s="0" t="s">
        <v>57</v>
      </c>
      <c r="N235" s="0" t="s">
        <v>58</v>
      </c>
      <c r="O235" s="0" t="s">
        <v>58</v>
      </c>
      <c r="P235" s="0" t="s">
        <v>92</v>
      </c>
      <c r="Q235" s="12" t="n">
        <f aca="false">VLOOKUP(E235,Conditions!$A$2:$I$13,6,FALSE())</f>
        <v>1</v>
      </c>
      <c r="R235" s="13" t="n">
        <f aca="false">VLOOKUP(G235,Benchmarks!$A$2:$I$9,5,FALSE())</f>
        <v>500</v>
      </c>
      <c r="S235" s="13" t="n">
        <f aca="false">VLOOKUP(G235,Benchmarks!$A$2:$I$9,6,FALSE())</f>
        <v>5500</v>
      </c>
      <c r="T235" s="13" t="n">
        <f aca="false">R235*S235*Q235</f>
        <v>2750000</v>
      </c>
      <c r="U235" s="14" t="n">
        <f aca="false">VLOOKUP(F235,Backbones!$A$2:$G$5,6,FALSE())</f>
        <v>0.1</v>
      </c>
      <c r="V235" s="15" t="n">
        <f aca="false">T235/1000000*U235</f>
        <v>0.275</v>
      </c>
      <c r="W235" s="11" t="s">
        <v>59</v>
      </c>
    </row>
    <row r="236" customFormat="false" ht="15" hidden="false" customHeight="false" outlineLevel="0" collapsed="false">
      <c r="A236" s="6" t="s">
        <v>330</v>
      </c>
      <c r="B236" s="6" t="s">
        <v>301</v>
      </c>
      <c r="C236" s="6" t="s">
        <v>51</v>
      </c>
      <c r="D236" s="6" t="s">
        <v>52</v>
      </c>
      <c r="E236" s="6" t="s">
        <v>117</v>
      </c>
      <c r="F236" s="6" t="s">
        <v>328</v>
      </c>
      <c r="G236" s="6" t="s">
        <v>83</v>
      </c>
      <c r="H236" s="6" t="n">
        <v>42</v>
      </c>
      <c r="I236" s="6" t="s">
        <v>56</v>
      </c>
      <c r="J236" s="6"/>
      <c r="K236" s="6"/>
      <c r="L236" s="6"/>
      <c r="M236" s="6" t="s">
        <v>57</v>
      </c>
      <c r="N236" s="6" t="s">
        <v>58</v>
      </c>
      <c r="O236" s="6" t="s">
        <v>58</v>
      </c>
      <c r="P236" s="6" t="s">
        <v>92</v>
      </c>
      <c r="Q236" s="7" t="n">
        <f aca="false">VLOOKUP(E236,Conditions!$A$2:$I$13,6,FALSE())</f>
        <v>1</v>
      </c>
      <c r="R236" s="8" t="n">
        <f aca="false">VLOOKUP(G236,Benchmarks!$A$2:$I$9,5,FALSE())</f>
        <v>200</v>
      </c>
      <c r="S236" s="8" t="n">
        <f aca="false">VLOOKUP(G236,Benchmarks!$A$2:$I$9,6,FALSE())</f>
        <v>8000</v>
      </c>
      <c r="T236" s="8" t="n">
        <f aca="false">R236*S236*Q236</f>
        <v>1600000</v>
      </c>
      <c r="U236" s="9" t="n">
        <f aca="false">VLOOKUP(F236,Backbones!$A$2:$G$5,6,FALSE())</f>
        <v>0.1</v>
      </c>
      <c r="V236" s="10" t="n">
        <f aca="false">T236/1000000*U236</f>
        <v>0.16</v>
      </c>
      <c r="W236" s="6" t="s">
        <v>59</v>
      </c>
      <c r="X236" s="6"/>
      <c r="Y236" s="6"/>
    </row>
    <row r="237" customFormat="false" ht="15" hidden="false" customHeight="false" outlineLevel="0" collapsed="false">
      <c r="A237" s="0" t="s">
        <v>331</v>
      </c>
      <c r="B237" s="11" t="s">
        <v>301</v>
      </c>
      <c r="C237" s="0" t="s">
        <v>51</v>
      </c>
      <c r="D237" s="0" t="s">
        <v>52</v>
      </c>
      <c r="E237" s="0" t="s">
        <v>142</v>
      </c>
      <c r="F237" s="0" t="s">
        <v>328</v>
      </c>
      <c r="G237" s="0" t="s">
        <v>63</v>
      </c>
      <c r="H237" s="0" t="n">
        <v>42</v>
      </c>
      <c r="I237" s="11" t="s">
        <v>56</v>
      </c>
      <c r="M237" s="0" t="s">
        <v>57</v>
      </c>
      <c r="N237" s="0" t="s">
        <v>58</v>
      </c>
      <c r="O237" s="0" t="s">
        <v>143</v>
      </c>
      <c r="P237" s="0" t="s">
        <v>144</v>
      </c>
      <c r="Q237" s="12" t="n">
        <f aca="false">VLOOKUP(E237,Conditions!$A$2:$I$13,6,FALSE())</f>
        <v>0.7</v>
      </c>
      <c r="R237" s="13" t="n">
        <f aca="false">VLOOKUP(G237,Benchmarks!$A$2:$I$9,5,FALSE())</f>
        <v>1273</v>
      </c>
      <c r="S237" s="13" t="n">
        <f aca="false">VLOOKUP(G237,Benchmarks!$A$2:$I$9,6,FALSE())</f>
        <v>5000</v>
      </c>
      <c r="T237" s="13" t="n">
        <f aca="false">R237*S237*Q237</f>
        <v>4455500</v>
      </c>
      <c r="U237" s="14" t="n">
        <f aca="false">VLOOKUP(F237,Backbones!$A$2:$G$5,6,FALSE())</f>
        <v>0.1</v>
      </c>
      <c r="V237" s="15" t="n">
        <f aca="false">T237/1000000*U237</f>
        <v>0.44555</v>
      </c>
      <c r="W237" s="11" t="s">
        <v>145</v>
      </c>
    </row>
    <row r="238" customFormat="false" ht="15" hidden="false" customHeight="false" outlineLevel="0" collapsed="false">
      <c r="A238" s="6" t="s">
        <v>332</v>
      </c>
      <c r="B238" s="6" t="s">
        <v>301</v>
      </c>
      <c r="C238" s="6" t="s">
        <v>51</v>
      </c>
      <c r="D238" s="6" t="s">
        <v>52</v>
      </c>
      <c r="E238" s="6" t="s">
        <v>142</v>
      </c>
      <c r="F238" s="6" t="s">
        <v>328</v>
      </c>
      <c r="G238" s="6" t="s">
        <v>71</v>
      </c>
      <c r="H238" s="6" t="n">
        <v>42</v>
      </c>
      <c r="I238" s="6" t="s">
        <v>56</v>
      </c>
      <c r="J238" s="6"/>
      <c r="K238" s="6"/>
      <c r="L238" s="6"/>
      <c r="M238" s="6" t="s">
        <v>57</v>
      </c>
      <c r="N238" s="6" t="s">
        <v>58</v>
      </c>
      <c r="O238" s="6" t="s">
        <v>143</v>
      </c>
      <c r="P238" s="6" t="s">
        <v>144</v>
      </c>
      <c r="Q238" s="7" t="n">
        <f aca="false">VLOOKUP(E238,Conditions!$A$2:$I$13,6,FALSE())</f>
        <v>0.7</v>
      </c>
      <c r="R238" s="8" t="n">
        <f aca="false">VLOOKUP(G238,Benchmarks!$A$2:$I$9,5,FALSE())</f>
        <v>500</v>
      </c>
      <c r="S238" s="8" t="n">
        <f aca="false">VLOOKUP(G238,Benchmarks!$A$2:$I$9,6,FALSE())</f>
        <v>5500</v>
      </c>
      <c r="T238" s="8" t="n">
        <f aca="false">R238*S238*Q238</f>
        <v>1925000</v>
      </c>
      <c r="U238" s="9" t="n">
        <f aca="false">VLOOKUP(F238,Backbones!$A$2:$G$5,6,FALSE())</f>
        <v>0.1</v>
      </c>
      <c r="V238" s="10" t="n">
        <f aca="false">T238/1000000*U238</f>
        <v>0.1925</v>
      </c>
      <c r="W238" s="6" t="s">
        <v>145</v>
      </c>
      <c r="X238" s="6"/>
      <c r="Y238" s="6"/>
    </row>
    <row r="239" customFormat="false" ht="15" hidden="false" customHeight="false" outlineLevel="0" collapsed="false">
      <c r="A239" s="0" t="s">
        <v>333</v>
      </c>
      <c r="B239" s="11" t="s">
        <v>301</v>
      </c>
      <c r="C239" s="0" t="s">
        <v>51</v>
      </c>
      <c r="D239" s="0" t="s">
        <v>52</v>
      </c>
      <c r="E239" s="0" t="s">
        <v>142</v>
      </c>
      <c r="F239" s="0" t="s">
        <v>328</v>
      </c>
      <c r="G239" s="0" t="s">
        <v>83</v>
      </c>
      <c r="H239" s="0" t="n">
        <v>42</v>
      </c>
      <c r="I239" s="11" t="s">
        <v>56</v>
      </c>
      <c r="M239" s="0" t="s">
        <v>57</v>
      </c>
      <c r="N239" s="0" t="s">
        <v>58</v>
      </c>
      <c r="O239" s="0" t="s">
        <v>143</v>
      </c>
      <c r="P239" s="0" t="s">
        <v>144</v>
      </c>
      <c r="Q239" s="12" t="n">
        <f aca="false">VLOOKUP(E239,Conditions!$A$2:$I$13,6,FALSE())</f>
        <v>0.7</v>
      </c>
      <c r="R239" s="13" t="n">
        <f aca="false">VLOOKUP(G239,Benchmarks!$A$2:$I$9,5,FALSE())</f>
        <v>200</v>
      </c>
      <c r="S239" s="13" t="n">
        <f aca="false">VLOOKUP(G239,Benchmarks!$A$2:$I$9,6,FALSE())</f>
        <v>8000</v>
      </c>
      <c r="T239" s="13" t="n">
        <f aca="false">R239*S239*Q239</f>
        <v>1120000</v>
      </c>
      <c r="U239" s="14" t="n">
        <f aca="false">VLOOKUP(F239,Backbones!$A$2:$G$5,6,FALSE())</f>
        <v>0.1</v>
      </c>
      <c r="V239" s="15" t="n">
        <f aca="false">T239/1000000*U239</f>
        <v>0.112</v>
      </c>
      <c r="W239" s="11" t="s">
        <v>145</v>
      </c>
    </row>
    <row r="240" customFormat="false" ht="15" hidden="false" customHeight="false" outlineLevel="0" collapsed="false">
      <c r="A240" s="6" t="s">
        <v>334</v>
      </c>
      <c r="B240" s="6" t="s">
        <v>301</v>
      </c>
      <c r="C240" s="6" t="s">
        <v>51</v>
      </c>
      <c r="D240" s="6" t="s">
        <v>52</v>
      </c>
      <c r="E240" s="6" t="s">
        <v>196</v>
      </c>
      <c r="F240" s="6" t="s">
        <v>328</v>
      </c>
      <c r="G240" s="6" t="s">
        <v>63</v>
      </c>
      <c r="H240" s="6" t="n">
        <v>42</v>
      </c>
      <c r="I240" s="6" t="s">
        <v>56</v>
      </c>
      <c r="J240" s="6"/>
      <c r="K240" s="6"/>
      <c r="L240" s="6"/>
      <c r="M240" s="6" t="s">
        <v>197</v>
      </c>
      <c r="N240" s="6" t="s">
        <v>58</v>
      </c>
      <c r="O240" s="6" t="s">
        <v>143</v>
      </c>
      <c r="P240" s="6" t="s">
        <v>92</v>
      </c>
      <c r="Q240" s="7" t="n">
        <f aca="false">VLOOKUP(E240,Conditions!$A$2:$I$13,6,FALSE())</f>
        <v>1.1</v>
      </c>
      <c r="R240" s="8" t="n">
        <f aca="false">VLOOKUP(G240,Benchmarks!$A$2:$I$9,5,FALSE())</f>
        <v>1273</v>
      </c>
      <c r="S240" s="8" t="n">
        <f aca="false">VLOOKUP(G240,Benchmarks!$A$2:$I$9,6,FALSE())</f>
        <v>5000</v>
      </c>
      <c r="T240" s="8" t="n">
        <f aca="false">R240*S240*Q240</f>
        <v>7001500</v>
      </c>
      <c r="U240" s="9" t="n">
        <f aca="false">VLOOKUP(F240,Backbones!$A$2:$G$5,6,FALSE())</f>
        <v>0.1</v>
      </c>
      <c r="V240" s="10" t="n">
        <f aca="false">T240/1000000*U240</f>
        <v>0.70015</v>
      </c>
      <c r="W240" s="6" t="s">
        <v>59</v>
      </c>
      <c r="X240" s="6"/>
      <c r="Y240" s="6"/>
    </row>
    <row r="241" customFormat="false" ht="15" hidden="false" customHeight="false" outlineLevel="0" collapsed="false">
      <c r="A241" s="0" t="s">
        <v>335</v>
      </c>
      <c r="B241" s="11" t="s">
        <v>301</v>
      </c>
      <c r="C241" s="0" t="s">
        <v>51</v>
      </c>
      <c r="D241" s="0" t="s">
        <v>52</v>
      </c>
      <c r="E241" s="0" t="s">
        <v>196</v>
      </c>
      <c r="F241" s="0" t="s">
        <v>328</v>
      </c>
      <c r="G241" s="0" t="s">
        <v>71</v>
      </c>
      <c r="H241" s="0" t="n">
        <v>42</v>
      </c>
      <c r="I241" s="11" t="s">
        <v>56</v>
      </c>
      <c r="M241" s="0" t="s">
        <v>197</v>
      </c>
      <c r="N241" s="0" t="s">
        <v>58</v>
      </c>
      <c r="O241" s="0" t="s">
        <v>143</v>
      </c>
      <c r="P241" s="0" t="s">
        <v>92</v>
      </c>
      <c r="Q241" s="12" t="n">
        <f aca="false">VLOOKUP(E241,Conditions!$A$2:$I$13,6,FALSE())</f>
        <v>1.1</v>
      </c>
      <c r="R241" s="13" t="n">
        <f aca="false">VLOOKUP(G241,Benchmarks!$A$2:$I$9,5,FALSE())</f>
        <v>500</v>
      </c>
      <c r="S241" s="13" t="n">
        <f aca="false">VLOOKUP(G241,Benchmarks!$A$2:$I$9,6,FALSE())</f>
        <v>5500</v>
      </c>
      <c r="T241" s="13" t="n">
        <f aca="false">R241*S241*Q241</f>
        <v>3025000</v>
      </c>
      <c r="U241" s="14" t="n">
        <f aca="false">VLOOKUP(F241,Backbones!$A$2:$G$5,6,FALSE())</f>
        <v>0.1</v>
      </c>
      <c r="V241" s="15" t="n">
        <f aca="false">T241/1000000*U241</f>
        <v>0.3025</v>
      </c>
      <c r="W241" s="11" t="s">
        <v>59</v>
      </c>
    </row>
    <row r="242" customFormat="false" ht="15" hidden="false" customHeight="false" outlineLevel="0" collapsed="false">
      <c r="A242" s="6" t="s">
        <v>336</v>
      </c>
      <c r="B242" s="6" t="s">
        <v>301</v>
      </c>
      <c r="C242" s="6" t="s">
        <v>51</v>
      </c>
      <c r="D242" s="6" t="s">
        <v>52</v>
      </c>
      <c r="E242" s="6" t="s">
        <v>196</v>
      </c>
      <c r="F242" s="6" t="s">
        <v>328</v>
      </c>
      <c r="G242" s="6" t="s">
        <v>83</v>
      </c>
      <c r="H242" s="6" t="n">
        <v>42</v>
      </c>
      <c r="I242" s="6" t="s">
        <v>56</v>
      </c>
      <c r="J242" s="6"/>
      <c r="K242" s="6"/>
      <c r="L242" s="6"/>
      <c r="M242" s="6" t="s">
        <v>197</v>
      </c>
      <c r="N242" s="6" t="s">
        <v>58</v>
      </c>
      <c r="O242" s="6" t="s">
        <v>143</v>
      </c>
      <c r="P242" s="6" t="s">
        <v>92</v>
      </c>
      <c r="Q242" s="7" t="n">
        <f aca="false">VLOOKUP(E242,Conditions!$A$2:$I$13,6,FALSE())</f>
        <v>1.1</v>
      </c>
      <c r="R242" s="8" t="n">
        <f aca="false">VLOOKUP(G242,Benchmarks!$A$2:$I$9,5,FALSE())</f>
        <v>200</v>
      </c>
      <c r="S242" s="8" t="n">
        <f aca="false">VLOOKUP(G242,Benchmarks!$A$2:$I$9,6,FALSE())</f>
        <v>8000</v>
      </c>
      <c r="T242" s="8" t="n">
        <f aca="false">R242*S242*Q242</f>
        <v>1760000</v>
      </c>
      <c r="U242" s="9" t="n">
        <f aca="false">VLOOKUP(F242,Backbones!$A$2:$G$5,6,FALSE())</f>
        <v>0.1</v>
      </c>
      <c r="V242" s="10" t="n">
        <f aca="false">T242/1000000*U242</f>
        <v>0.176</v>
      </c>
      <c r="W242" s="6" t="s">
        <v>59</v>
      </c>
      <c r="X242" s="6"/>
      <c r="Y242" s="6"/>
    </row>
    <row r="243" customFormat="false" ht="15" hidden="false" customHeight="false" outlineLevel="0" collapsed="false">
      <c r="A243" s="0" t="s">
        <v>337</v>
      </c>
      <c r="B243" s="11" t="s">
        <v>301</v>
      </c>
      <c r="C243" s="0" t="s">
        <v>251</v>
      </c>
      <c r="D243" s="0" t="s">
        <v>223</v>
      </c>
      <c r="E243" s="0" t="s">
        <v>252</v>
      </c>
      <c r="F243" s="0" t="s">
        <v>328</v>
      </c>
      <c r="G243" s="0" t="s">
        <v>63</v>
      </c>
      <c r="H243" s="0" t="n">
        <v>42</v>
      </c>
      <c r="I243" s="11" t="s">
        <v>56</v>
      </c>
      <c r="M243" s="0" t="s">
        <v>225</v>
      </c>
      <c r="N243" s="0" t="s">
        <v>253</v>
      </c>
      <c r="O243" s="0" t="s">
        <v>143</v>
      </c>
      <c r="P243" s="0" t="s">
        <v>226</v>
      </c>
      <c r="Q243" s="12" t="n">
        <f aca="false">VLOOKUP(E243,Conditions!$A$2:$I$13,6,FALSE())</f>
        <v>1.15</v>
      </c>
      <c r="R243" s="13" t="n">
        <f aca="false">VLOOKUP(G243,Benchmarks!$A$2:$I$9,5,FALSE())</f>
        <v>1273</v>
      </c>
      <c r="S243" s="13" t="n">
        <f aca="false">VLOOKUP(G243,Benchmarks!$A$2:$I$9,6,FALSE())</f>
        <v>5000</v>
      </c>
      <c r="T243" s="13" t="n">
        <f aca="false">R243*S243*Q243</f>
        <v>7319750</v>
      </c>
      <c r="U243" s="14" t="n">
        <f aca="false">VLOOKUP(F243,Backbones!$A$2:$G$5,6,FALSE())</f>
        <v>0.1</v>
      </c>
      <c r="V243" s="15" t="n">
        <f aca="false">T243/1000000*U243</f>
        <v>0.731975</v>
      </c>
      <c r="W243" s="11" t="s">
        <v>254</v>
      </c>
    </row>
    <row r="244" customFormat="false" ht="15" hidden="false" customHeight="false" outlineLevel="0" collapsed="false">
      <c r="A244" s="6" t="s">
        <v>338</v>
      </c>
      <c r="B244" s="6" t="s">
        <v>301</v>
      </c>
      <c r="C244" s="6" t="s">
        <v>251</v>
      </c>
      <c r="D244" s="6" t="s">
        <v>223</v>
      </c>
      <c r="E244" s="6" t="s">
        <v>252</v>
      </c>
      <c r="F244" s="6" t="s">
        <v>328</v>
      </c>
      <c r="G244" s="6" t="s">
        <v>71</v>
      </c>
      <c r="H244" s="6" t="n">
        <v>42</v>
      </c>
      <c r="I244" s="6" t="s">
        <v>56</v>
      </c>
      <c r="J244" s="6"/>
      <c r="K244" s="6"/>
      <c r="L244" s="6"/>
      <c r="M244" s="6" t="s">
        <v>225</v>
      </c>
      <c r="N244" s="6" t="s">
        <v>253</v>
      </c>
      <c r="O244" s="6" t="s">
        <v>143</v>
      </c>
      <c r="P244" s="6" t="s">
        <v>226</v>
      </c>
      <c r="Q244" s="7" t="n">
        <f aca="false">VLOOKUP(E244,Conditions!$A$2:$I$13,6,FALSE())</f>
        <v>1.15</v>
      </c>
      <c r="R244" s="8" t="n">
        <f aca="false">VLOOKUP(G244,Benchmarks!$A$2:$I$9,5,FALSE())</f>
        <v>500</v>
      </c>
      <c r="S244" s="8" t="n">
        <f aca="false">VLOOKUP(G244,Benchmarks!$A$2:$I$9,6,FALSE())</f>
        <v>5500</v>
      </c>
      <c r="T244" s="8" t="n">
        <f aca="false">R244*S244*Q244</f>
        <v>3162500</v>
      </c>
      <c r="U244" s="9" t="n">
        <f aca="false">VLOOKUP(F244,Backbones!$A$2:$G$5,6,FALSE())</f>
        <v>0.1</v>
      </c>
      <c r="V244" s="10" t="n">
        <f aca="false">T244/1000000*U244</f>
        <v>0.31625</v>
      </c>
      <c r="W244" s="6" t="s">
        <v>254</v>
      </c>
      <c r="X244" s="6"/>
      <c r="Y244" s="6"/>
    </row>
    <row r="245" customFormat="false" ht="15" hidden="false" customHeight="false" outlineLevel="0" collapsed="false">
      <c r="A245" s="0" t="s">
        <v>339</v>
      </c>
      <c r="B245" s="11" t="s">
        <v>301</v>
      </c>
      <c r="C245" s="0" t="s">
        <v>251</v>
      </c>
      <c r="D245" s="0" t="s">
        <v>223</v>
      </c>
      <c r="E245" s="0" t="s">
        <v>252</v>
      </c>
      <c r="F245" s="0" t="s">
        <v>328</v>
      </c>
      <c r="G245" s="0" t="s">
        <v>83</v>
      </c>
      <c r="H245" s="0" t="n">
        <v>42</v>
      </c>
      <c r="I245" s="11" t="s">
        <v>56</v>
      </c>
      <c r="M245" s="0" t="s">
        <v>225</v>
      </c>
      <c r="N245" s="0" t="s">
        <v>253</v>
      </c>
      <c r="O245" s="0" t="s">
        <v>143</v>
      </c>
      <c r="P245" s="0" t="s">
        <v>226</v>
      </c>
      <c r="Q245" s="12" t="n">
        <f aca="false">VLOOKUP(E245,Conditions!$A$2:$I$13,6,FALSE())</f>
        <v>1.15</v>
      </c>
      <c r="R245" s="13" t="n">
        <f aca="false">VLOOKUP(G245,Benchmarks!$A$2:$I$9,5,FALSE())</f>
        <v>200</v>
      </c>
      <c r="S245" s="13" t="n">
        <f aca="false">VLOOKUP(G245,Benchmarks!$A$2:$I$9,6,FALSE())</f>
        <v>8000</v>
      </c>
      <c r="T245" s="13" t="n">
        <f aca="false">R245*S245*Q245</f>
        <v>1840000</v>
      </c>
      <c r="U245" s="14" t="n">
        <f aca="false">VLOOKUP(F245,Backbones!$A$2:$G$5,6,FALSE())</f>
        <v>0.1</v>
      </c>
      <c r="V245" s="15" t="n">
        <f aca="false">T245/1000000*U245</f>
        <v>0.184</v>
      </c>
      <c r="W245" s="11" t="s">
        <v>254</v>
      </c>
    </row>
  </sheetData>
  <autoFilter ref="A1:Y245"/>
  <conditionalFormatting sqref="I2:I245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"Running"</formula>
    </cfRule>
    <cfRule type="cellIs" priority="4" operator="equal" aboveAverage="0" equalAverage="0" bottom="0" percent="0" rank="0" text="" dxfId="9">
      <formula>"Failed"</formula>
    </cfRule>
    <cfRule type="cellIs" priority="5" operator="equal" aboveAverage="0" equalAverage="0" bottom="0" percent="0" rank="0" text="" dxfId="10">
      <formula>"Blocked"</formula>
    </cfRule>
    <cfRule type="cellIs" priority="6" operator="equal" aboveAverage="0" equalAverage="0" bottom="0" percent="0" rank="0" text="" dxfId="11">
      <formula>"Ready"</formula>
    </cfRule>
    <cfRule type="cellIs" priority="7" operator="equal" aboveAverage="0" equalAverage="0" bottom="0" percent="0" rank="0" text="" dxfId="12">
      <formula>"Pending"</formula>
    </cfRule>
  </conditionalFormatting>
  <dataValidations count="2">
    <dataValidation allowBlank="true" errorStyle="stop" operator="between" showDropDown="false" showErrorMessage="false" showInputMessage="false" sqref="I2:I245" type="list">
      <formula1>"Pending,Ready,Running,Done,Failed,Blocked"</formula1>
      <formula2>0</formula2>
    </dataValidation>
    <dataValidation allowBlank="true" errorStyle="stop" operator="between" showDropDown="false" showErrorMessage="false" showInputMessage="false" sqref="B2:B245" type="list">
      <formula1>"P0,P1,P2"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5" t="s">
        <v>28</v>
      </c>
      <c r="B1" s="5" t="s">
        <v>340</v>
      </c>
      <c r="C1" s="5" t="s">
        <v>36</v>
      </c>
      <c r="D1" s="5" t="s">
        <v>37</v>
      </c>
      <c r="E1" s="5" t="s">
        <v>38</v>
      </c>
      <c r="F1" s="5" t="s">
        <v>40</v>
      </c>
      <c r="G1" s="5" t="s">
        <v>341</v>
      </c>
      <c r="H1" s="5" t="s">
        <v>342</v>
      </c>
      <c r="I1" s="5" t="s">
        <v>48</v>
      </c>
    </row>
    <row r="2" customFormat="false" ht="15" hidden="false" customHeight="false" outlineLevel="0" collapsed="false">
      <c r="A2" s="6" t="s">
        <v>53</v>
      </c>
      <c r="B2" s="6" t="s">
        <v>343</v>
      </c>
      <c r="C2" s="6" t="s">
        <v>57</v>
      </c>
      <c r="D2" s="6" t="s">
        <v>58</v>
      </c>
      <c r="E2" s="6" t="s">
        <v>58</v>
      </c>
      <c r="F2" s="7" t="n">
        <v>0.05</v>
      </c>
      <c r="G2" s="6" t="s">
        <v>344</v>
      </c>
      <c r="H2" s="6" t="s">
        <v>345</v>
      </c>
      <c r="I2" s="6" t="s">
        <v>346</v>
      </c>
    </row>
    <row r="3" customFormat="false" ht="15" hidden="false" customHeight="false" outlineLevel="0" collapsed="false">
      <c r="A3" s="0" t="s">
        <v>91</v>
      </c>
      <c r="B3" s="0" t="s">
        <v>347</v>
      </c>
      <c r="C3" s="0" t="s">
        <v>57</v>
      </c>
      <c r="D3" s="0" t="s">
        <v>58</v>
      </c>
      <c r="E3" s="0" t="s">
        <v>58</v>
      </c>
      <c r="F3" s="12" t="n">
        <v>0.9</v>
      </c>
      <c r="G3" s="11" t="s">
        <v>348</v>
      </c>
      <c r="H3" s="11" t="s">
        <v>345</v>
      </c>
      <c r="I3" s="11" t="s">
        <v>349</v>
      </c>
    </row>
    <row r="4" customFormat="false" ht="15" hidden="false" customHeight="false" outlineLevel="0" collapsed="false">
      <c r="A4" s="6" t="s">
        <v>117</v>
      </c>
      <c r="B4" s="6" t="s">
        <v>350</v>
      </c>
      <c r="C4" s="6" t="s">
        <v>57</v>
      </c>
      <c r="D4" s="6" t="s">
        <v>58</v>
      </c>
      <c r="E4" s="6" t="s">
        <v>58</v>
      </c>
      <c r="F4" s="7" t="n">
        <v>1</v>
      </c>
      <c r="G4" s="6" t="s">
        <v>351</v>
      </c>
      <c r="H4" s="6" t="s">
        <v>345</v>
      </c>
      <c r="I4" s="6" t="s">
        <v>352</v>
      </c>
    </row>
    <row r="5" customFormat="false" ht="15" hidden="false" customHeight="false" outlineLevel="0" collapsed="false">
      <c r="A5" s="0" t="s">
        <v>142</v>
      </c>
      <c r="B5" s="0" t="s">
        <v>353</v>
      </c>
      <c r="C5" s="0" t="s">
        <v>57</v>
      </c>
      <c r="D5" s="0" t="s">
        <v>58</v>
      </c>
      <c r="E5" s="0" t="s">
        <v>143</v>
      </c>
      <c r="F5" s="12" t="n">
        <v>0.7</v>
      </c>
      <c r="G5" s="11" t="s">
        <v>354</v>
      </c>
      <c r="H5" s="11" t="s">
        <v>345</v>
      </c>
      <c r="I5" s="11" t="s">
        <v>355</v>
      </c>
    </row>
    <row r="6" customFormat="false" ht="15" hidden="false" customHeight="false" outlineLevel="0" collapsed="false">
      <c r="A6" s="6" t="s">
        <v>170</v>
      </c>
      <c r="B6" s="6" t="s">
        <v>356</v>
      </c>
      <c r="C6" s="6" t="s">
        <v>57</v>
      </c>
      <c r="D6" s="6" t="s">
        <v>171</v>
      </c>
      <c r="E6" s="6" t="s">
        <v>143</v>
      </c>
      <c r="F6" s="7" t="n">
        <v>1.1</v>
      </c>
      <c r="G6" s="6" t="s">
        <v>357</v>
      </c>
      <c r="H6" s="6" t="s">
        <v>358</v>
      </c>
      <c r="I6" s="6" t="s">
        <v>359</v>
      </c>
    </row>
    <row r="7" customFormat="false" ht="15" hidden="false" customHeight="false" outlineLevel="0" collapsed="false">
      <c r="A7" s="0" t="s">
        <v>279</v>
      </c>
      <c r="B7" s="0" t="s">
        <v>360</v>
      </c>
      <c r="C7" s="0" t="s">
        <v>280</v>
      </c>
      <c r="D7" s="0" t="s">
        <v>58</v>
      </c>
      <c r="E7" s="0" t="s">
        <v>143</v>
      </c>
      <c r="F7" s="12" t="n">
        <v>1</v>
      </c>
      <c r="G7" s="11" t="s">
        <v>361</v>
      </c>
      <c r="H7" s="11" t="s">
        <v>345</v>
      </c>
      <c r="I7" s="11" t="s">
        <v>362</v>
      </c>
    </row>
    <row r="8" customFormat="false" ht="15" hidden="false" customHeight="false" outlineLevel="0" collapsed="false">
      <c r="A8" s="6" t="s">
        <v>196</v>
      </c>
      <c r="B8" s="6" t="s">
        <v>363</v>
      </c>
      <c r="C8" s="6" t="s">
        <v>197</v>
      </c>
      <c r="D8" s="6" t="s">
        <v>58</v>
      </c>
      <c r="E8" s="6" t="s">
        <v>143</v>
      </c>
      <c r="F8" s="7" t="n">
        <v>1.1</v>
      </c>
      <c r="G8" s="6" t="s">
        <v>364</v>
      </c>
      <c r="H8" s="6" t="s">
        <v>345</v>
      </c>
      <c r="I8" s="6" t="s">
        <v>365</v>
      </c>
    </row>
    <row r="9" customFormat="false" ht="15" hidden="false" customHeight="false" outlineLevel="0" collapsed="false">
      <c r="A9" s="0" t="s">
        <v>224</v>
      </c>
      <c r="B9" s="0" t="s">
        <v>366</v>
      </c>
      <c r="C9" s="0" t="s">
        <v>225</v>
      </c>
      <c r="D9" s="0" t="s">
        <v>58</v>
      </c>
      <c r="E9" s="0" t="s">
        <v>143</v>
      </c>
      <c r="F9" s="12" t="n">
        <v>1.1</v>
      </c>
      <c r="G9" s="11" t="s">
        <v>367</v>
      </c>
      <c r="H9" s="11" t="s">
        <v>368</v>
      </c>
      <c r="I9" s="11" t="s">
        <v>369</v>
      </c>
    </row>
    <row r="10" customFormat="false" ht="15" hidden="false" customHeight="false" outlineLevel="0" collapsed="false">
      <c r="A10" s="6" t="s">
        <v>285</v>
      </c>
      <c r="B10" s="6" t="s">
        <v>370</v>
      </c>
      <c r="C10" s="6" t="s">
        <v>225</v>
      </c>
      <c r="D10" s="6" t="s">
        <v>286</v>
      </c>
      <c r="E10" s="6" t="s">
        <v>143</v>
      </c>
      <c r="F10" s="7" t="n">
        <v>1.2</v>
      </c>
      <c r="G10" s="6" t="s">
        <v>371</v>
      </c>
      <c r="H10" s="6" t="s">
        <v>372</v>
      </c>
      <c r="I10" s="6" t="s">
        <v>373</v>
      </c>
    </row>
    <row r="11" customFormat="false" ht="15" hidden="false" customHeight="false" outlineLevel="0" collapsed="false">
      <c r="A11" s="0" t="s">
        <v>252</v>
      </c>
      <c r="B11" s="0" t="s">
        <v>370</v>
      </c>
      <c r="C11" s="0" t="s">
        <v>225</v>
      </c>
      <c r="D11" s="0" t="s">
        <v>253</v>
      </c>
      <c r="E11" s="0" t="s">
        <v>143</v>
      </c>
      <c r="F11" s="12" t="n">
        <v>1.15</v>
      </c>
      <c r="G11" s="11" t="s">
        <v>374</v>
      </c>
      <c r="H11" s="11" t="s">
        <v>368</v>
      </c>
      <c r="I11" s="11" t="s">
        <v>375</v>
      </c>
    </row>
    <row r="12" customFormat="false" ht="15" hidden="false" customHeight="false" outlineLevel="0" collapsed="false">
      <c r="A12" s="6" t="s">
        <v>291</v>
      </c>
      <c r="B12" s="6" t="s">
        <v>376</v>
      </c>
      <c r="C12" s="6" t="s">
        <v>225</v>
      </c>
      <c r="D12" s="6" t="s">
        <v>58</v>
      </c>
      <c r="E12" s="6" t="s">
        <v>143</v>
      </c>
      <c r="F12" s="7" t="n">
        <v>1.1</v>
      </c>
      <c r="G12" s="6" t="s">
        <v>377</v>
      </c>
      <c r="H12" s="6" t="s">
        <v>372</v>
      </c>
      <c r="I12" s="6" t="s">
        <v>378</v>
      </c>
    </row>
    <row r="13" customFormat="false" ht="15" hidden="false" customHeight="false" outlineLevel="0" collapsed="false">
      <c r="A13" s="0" t="s">
        <v>296</v>
      </c>
      <c r="B13" s="0" t="s">
        <v>379</v>
      </c>
      <c r="C13" s="0" t="s">
        <v>225</v>
      </c>
      <c r="D13" s="0" t="s">
        <v>58</v>
      </c>
      <c r="E13" s="0" t="s">
        <v>58</v>
      </c>
      <c r="F13" s="12" t="n">
        <v>1</v>
      </c>
      <c r="G13" s="11" t="s">
        <v>380</v>
      </c>
      <c r="H13" s="11" t="s">
        <v>372</v>
      </c>
      <c r="I13" s="11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5" t="s">
        <v>30</v>
      </c>
      <c r="B1" s="5" t="s">
        <v>382</v>
      </c>
      <c r="C1" s="5" t="s">
        <v>383</v>
      </c>
      <c r="D1" s="5" t="s">
        <v>342</v>
      </c>
      <c r="E1" s="5" t="s">
        <v>41</v>
      </c>
      <c r="F1" s="5" t="s">
        <v>42</v>
      </c>
      <c r="G1" s="5" t="s">
        <v>384</v>
      </c>
      <c r="H1" s="5" t="s">
        <v>385</v>
      </c>
      <c r="I1" s="5" t="s">
        <v>386</v>
      </c>
    </row>
    <row r="2" customFormat="false" ht="15" hidden="false" customHeight="false" outlineLevel="0" collapsed="false">
      <c r="A2" s="6" t="s">
        <v>55</v>
      </c>
      <c r="B2" s="6" t="s">
        <v>387</v>
      </c>
      <c r="C2" s="6" t="s">
        <v>388</v>
      </c>
      <c r="D2" s="6" t="s">
        <v>389</v>
      </c>
      <c r="E2" s="8" t="n">
        <v>1089</v>
      </c>
      <c r="F2" s="8" t="n">
        <v>4500</v>
      </c>
      <c r="G2" s="6" t="s">
        <v>390</v>
      </c>
      <c r="H2" s="6" t="s">
        <v>391</v>
      </c>
      <c r="I2" s="6" t="s">
        <v>392</v>
      </c>
    </row>
    <row r="3" customFormat="false" ht="15" hidden="false" customHeight="false" outlineLevel="0" collapsed="false">
      <c r="A3" s="0" t="s">
        <v>63</v>
      </c>
      <c r="B3" s="0" t="s">
        <v>393</v>
      </c>
      <c r="C3" s="0" t="s">
        <v>388</v>
      </c>
      <c r="D3" s="0" t="s">
        <v>389</v>
      </c>
      <c r="E3" s="13" t="n">
        <v>1273</v>
      </c>
      <c r="F3" s="13" t="n">
        <v>5000</v>
      </c>
      <c r="G3" s="11" t="s">
        <v>394</v>
      </c>
      <c r="H3" s="11" t="s">
        <v>391</v>
      </c>
      <c r="I3" s="11" t="s">
        <v>392</v>
      </c>
    </row>
    <row r="4" customFormat="false" ht="15" hidden="false" customHeight="false" outlineLevel="0" collapsed="false">
      <c r="A4" s="6" t="s">
        <v>67</v>
      </c>
      <c r="B4" s="6" t="s">
        <v>395</v>
      </c>
      <c r="C4" s="6" t="s">
        <v>388</v>
      </c>
      <c r="D4" s="6" t="s">
        <v>389</v>
      </c>
      <c r="E4" s="8" t="n">
        <v>4183</v>
      </c>
      <c r="F4" s="8" t="n">
        <v>4500</v>
      </c>
      <c r="G4" s="6" t="s">
        <v>396</v>
      </c>
      <c r="H4" s="6" t="s">
        <v>391</v>
      </c>
      <c r="I4" s="6" t="s">
        <v>392</v>
      </c>
    </row>
    <row r="5" customFormat="false" ht="15" hidden="false" customHeight="false" outlineLevel="0" collapsed="false">
      <c r="A5" s="0" t="s">
        <v>71</v>
      </c>
      <c r="B5" s="0" t="s">
        <v>397</v>
      </c>
      <c r="C5" s="0" t="s">
        <v>388</v>
      </c>
      <c r="D5" s="0" t="s">
        <v>398</v>
      </c>
      <c r="E5" s="13" t="n">
        <v>500</v>
      </c>
      <c r="F5" s="13" t="n">
        <v>5500</v>
      </c>
      <c r="G5" s="11" t="s">
        <v>399</v>
      </c>
      <c r="H5" s="11" t="s">
        <v>400</v>
      </c>
      <c r="I5" s="11" t="s">
        <v>392</v>
      </c>
    </row>
    <row r="6" customFormat="false" ht="15" hidden="false" customHeight="false" outlineLevel="0" collapsed="false">
      <c r="A6" s="6" t="s">
        <v>75</v>
      </c>
      <c r="B6" s="6" t="s">
        <v>401</v>
      </c>
      <c r="C6" s="6" t="s">
        <v>388</v>
      </c>
      <c r="D6" s="6" t="s">
        <v>402</v>
      </c>
      <c r="E6" s="8" t="n">
        <v>618</v>
      </c>
      <c r="F6" s="8" t="n">
        <v>5000</v>
      </c>
      <c r="G6" s="6" t="s">
        <v>403</v>
      </c>
      <c r="H6" s="6" t="s">
        <v>400</v>
      </c>
      <c r="I6" s="6" t="s">
        <v>392</v>
      </c>
    </row>
    <row r="7" customFormat="false" ht="15" hidden="false" customHeight="false" outlineLevel="0" collapsed="false">
      <c r="A7" s="0" t="s">
        <v>79</v>
      </c>
      <c r="B7" s="0" t="s">
        <v>404</v>
      </c>
      <c r="C7" s="0" t="s">
        <v>405</v>
      </c>
      <c r="D7" s="0" t="s">
        <v>406</v>
      </c>
      <c r="E7" s="13" t="n">
        <v>50</v>
      </c>
      <c r="F7" s="13" t="n">
        <v>8000</v>
      </c>
      <c r="G7" s="11" t="s">
        <v>407</v>
      </c>
      <c r="H7" s="11" t="s">
        <v>400</v>
      </c>
      <c r="I7" s="11" t="s">
        <v>392</v>
      </c>
    </row>
    <row r="8" customFormat="false" ht="15" hidden="false" customHeight="false" outlineLevel="0" collapsed="false">
      <c r="A8" s="6" t="s">
        <v>83</v>
      </c>
      <c r="B8" s="6" t="s">
        <v>408</v>
      </c>
      <c r="C8" s="6" t="s">
        <v>409</v>
      </c>
      <c r="D8" s="6" t="s">
        <v>406</v>
      </c>
      <c r="E8" s="8" t="n">
        <v>200</v>
      </c>
      <c r="F8" s="8" t="n">
        <v>8000</v>
      </c>
      <c r="G8" s="6" t="s">
        <v>410</v>
      </c>
      <c r="H8" s="6" t="s">
        <v>400</v>
      </c>
      <c r="I8" s="6" t="s">
        <v>411</v>
      </c>
    </row>
    <row r="9" customFormat="false" ht="15" hidden="false" customHeight="false" outlineLevel="0" collapsed="false">
      <c r="A9" s="0" t="s">
        <v>87</v>
      </c>
      <c r="B9" s="0" t="s">
        <v>412</v>
      </c>
      <c r="C9" s="0" t="s">
        <v>413</v>
      </c>
      <c r="D9" s="0" t="s">
        <v>414</v>
      </c>
      <c r="E9" s="13" t="n">
        <v>150</v>
      </c>
      <c r="F9" s="13" t="n">
        <v>6000</v>
      </c>
      <c r="G9" s="11" t="s">
        <v>415</v>
      </c>
      <c r="H9" s="11" t="s">
        <v>416</v>
      </c>
      <c r="I9" s="11" t="s">
        <v>417</v>
      </c>
    </row>
    <row r="11" customFormat="false" ht="15" hidden="false" customHeight="false" outlineLevel="0" collapsed="false">
      <c r="D11" s="16" t="s">
        <v>418</v>
      </c>
      <c r="E11" s="17" t="n">
        <f aca="false">SUM(E2:E9)</f>
        <v>8063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" t="s">
        <v>29</v>
      </c>
      <c r="B1" s="5" t="s">
        <v>419</v>
      </c>
      <c r="C1" s="5" t="s">
        <v>420</v>
      </c>
      <c r="D1" s="5" t="s">
        <v>384</v>
      </c>
      <c r="E1" s="5" t="s">
        <v>421</v>
      </c>
      <c r="F1" s="5" t="s">
        <v>422</v>
      </c>
      <c r="G1" s="5" t="s">
        <v>48</v>
      </c>
    </row>
    <row r="2" customFormat="false" ht="15" hidden="false" customHeight="false" outlineLevel="0" collapsed="false">
      <c r="A2" s="6" t="s">
        <v>54</v>
      </c>
      <c r="B2" s="6" t="s">
        <v>423</v>
      </c>
      <c r="C2" s="6" t="s">
        <v>424</v>
      </c>
      <c r="D2" s="6" t="s">
        <v>425</v>
      </c>
      <c r="E2" s="6" t="s">
        <v>426</v>
      </c>
      <c r="F2" s="9" t="n">
        <v>0.6</v>
      </c>
      <c r="G2" s="6" t="s">
        <v>427</v>
      </c>
    </row>
    <row r="3" customFormat="false" ht="15" hidden="false" customHeight="false" outlineLevel="0" collapsed="false">
      <c r="A3" s="0" t="s">
        <v>302</v>
      </c>
      <c r="B3" s="0" t="s">
        <v>428</v>
      </c>
      <c r="C3" s="0" t="s">
        <v>429</v>
      </c>
      <c r="D3" s="0" t="s">
        <v>430</v>
      </c>
      <c r="E3" s="0" t="s">
        <v>431</v>
      </c>
      <c r="F3" s="14" t="n">
        <v>0.15</v>
      </c>
      <c r="G3" s="11" t="s">
        <v>432</v>
      </c>
    </row>
    <row r="4" customFormat="false" ht="15" hidden="false" customHeight="false" outlineLevel="0" collapsed="false">
      <c r="A4" s="6" t="s">
        <v>315</v>
      </c>
      <c r="B4" s="6" t="s">
        <v>433</v>
      </c>
      <c r="C4" s="6" t="s">
        <v>429</v>
      </c>
      <c r="D4" s="6" t="s">
        <v>430</v>
      </c>
      <c r="E4" s="6" t="s">
        <v>431</v>
      </c>
      <c r="F4" s="9" t="n">
        <v>0.2</v>
      </c>
      <c r="G4" s="6" t="s">
        <v>434</v>
      </c>
    </row>
    <row r="5" customFormat="false" ht="15" hidden="false" customHeight="false" outlineLevel="0" collapsed="false">
      <c r="A5" s="0" t="s">
        <v>328</v>
      </c>
      <c r="B5" s="0" t="s">
        <v>435</v>
      </c>
      <c r="C5" s="0" t="s">
        <v>429</v>
      </c>
      <c r="D5" s="0" t="s">
        <v>430</v>
      </c>
      <c r="E5" s="0" t="s">
        <v>436</v>
      </c>
      <c r="F5" s="14" t="n">
        <v>0.1</v>
      </c>
      <c r="G5" s="11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5" t="s">
        <v>438</v>
      </c>
      <c r="B1" s="5" t="s">
        <v>439</v>
      </c>
      <c r="C1" s="5" t="s">
        <v>440</v>
      </c>
      <c r="D1" s="5" t="s">
        <v>441</v>
      </c>
      <c r="E1" s="5" t="s">
        <v>442</v>
      </c>
      <c r="F1" s="5" t="s">
        <v>443</v>
      </c>
    </row>
    <row r="2" customFormat="false" ht="15" hidden="false" customHeight="false" outlineLevel="0" collapsed="false">
      <c r="A2" s="6" t="s">
        <v>444</v>
      </c>
      <c r="B2" s="6" t="s">
        <v>445</v>
      </c>
      <c r="C2" s="6" t="s">
        <v>446</v>
      </c>
      <c r="D2" s="6" t="s">
        <v>447</v>
      </c>
      <c r="E2" s="6"/>
      <c r="F2" s="6" t="s">
        <v>448</v>
      </c>
    </row>
    <row r="3" customFormat="false" ht="15" hidden="false" customHeight="false" outlineLevel="0" collapsed="false">
      <c r="A3" s="0" t="s">
        <v>449</v>
      </c>
      <c r="B3" s="0" t="s">
        <v>445</v>
      </c>
      <c r="C3" s="0" t="s">
        <v>446</v>
      </c>
      <c r="D3" s="0" t="s">
        <v>447</v>
      </c>
      <c r="E3" s="18" t="s">
        <v>450</v>
      </c>
      <c r="F3" s="11" t="s">
        <v>451</v>
      </c>
    </row>
    <row r="4" customFormat="false" ht="15" hidden="false" customHeight="false" outlineLevel="0" collapsed="false">
      <c r="A4" s="6" t="s">
        <v>452</v>
      </c>
      <c r="B4" s="6" t="s">
        <v>445</v>
      </c>
      <c r="C4" s="6" t="s">
        <v>446</v>
      </c>
      <c r="D4" s="6" t="s">
        <v>447</v>
      </c>
      <c r="E4" s="6"/>
      <c r="F4" s="6" t="s">
        <v>453</v>
      </c>
    </row>
    <row r="5" customFormat="false" ht="15" hidden="false" customHeight="false" outlineLevel="0" collapsed="false">
      <c r="A5" s="0" t="s">
        <v>454</v>
      </c>
      <c r="B5" s="0" t="s">
        <v>445</v>
      </c>
      <c r="C5" s="0" t="s">
        <v>446</v>
      </c>
      <c r="D5" s="0" t="s">
        <v>447</v>
      </c>
      <c r="F5" s="0" t="s">
        <v>455</v>
      </c>
    </row>
    <row r="6" customFormat="false" ht="15" hidden="false" customHeight="false" outlineLevel="0" collapsed="false">
      <c r="A6" s="6" t="s">
        <v>456</v>
      </c>
      <c r="B6" s="6" t="s">
        <v>445</v>
      </c>
      <c r="C6" s="6" t="s">
        <v>446</v>
      </c>
      <c r="D6" s="6" t="s">
        <v>447</v>
      </c>
      <c r="E6" s="6"/>
      <c r="F6" s="6" t="s">
        <v>457</v>
      </c>
    </row>
    <row r="7" customFormat="false" ht="15" hidden="false" customHeight="false" outlineLevel="0" collapsed="false">
      <c r="A7" s="0" t="s">
        <v>458</v>
      </c>
      <c r="B7" s="0" t="s">
        <v>445</v>
      </c>
      <c r="C7" s="0" t="s">
        <v>446</v>
      </c>
      <c r="D7" s="0" t="s">
        <v>447</v>
      </c>
      <c r="E7" s="18" t="s">
        <v>450</v>
      </c>
      <c r="F7" s="11" t="s">
        <v>459</v>
      </c>
    </row>
    <row r="8" customFormat="false" ht="15" hidden="false" customHeight="false" outlineLevel="0" collapsed="false">
      <c r="A8" s="6" t="s">
        <v>460</v>
      </c>
      <c r="B8" s="6" t="s">
        <v>445</v>
      </c>
      <c r="C8" s="6" t="s">
        <v>446</v>
      </c>
      <c r="D8" s="6" t="s">
        <v>447</v>
      </c>
      <c r="E8" s="19" t="s">
        <v>450</v>
      </c>
      <c r="F8" s="6" t="s">
        <v>461</v>
      </c>
    </row>
    <row r="9" customFormat="false" ht="15" hidden="false" customHeight="false" outlineLevel="0" collapsed="false">
      <c r="A9" s="0" t="s">
        <v>462</v>
      </c>
      <c r="B9" s="0" t="s">
        <v>391</v>
      </c>
      <c r="C9" s="0" t="s">
        <v>463</v>
      </c>
      <c r="D9" s="0" t="s">
        <v>447</v>
      </c>
      <c r="E9" s="18" t="s">
        <v>450</v>
      </c>
      <c r="F9" s="11" t="s">
        <v>464</v>
      </c>
    </row>
    <row r="10" customFormat="false" ht="15" hidden="false" customHeight="false" outlineLevel="0" collapsed="false">
      <c r="A10" s="6" t="s">
        <v>465</v>
      </c>
      <c r="B10" s="6" t="s">
        <v>391</v>
      </c>
      <c r="C10" s="6" t="s">
        <v>466</v>
      </c>
      <c r="D10" s="6" t="s">
        <v>447</v>
      </c>
      <c r="E10" s="19" t="s">
        <v>450</v>
      </c>
      <c r="F10" s="6" t="s">
        <v>467</v>
      </c>
    </row>
    <row r="11" customFormat="false" ht="15" hidden="false" customHeight="false" outlineLevel="0" collapsed="false">
      <c r="A11" s="0" t="s">
        <v>468</v>
      </c>
      <c r="B11" s="0" t="s">
        <v>391</v>
      </c>
      <c r="C11" s="0" t="s">
        <v>466</v>
      </c>
      <c r="D11" s="0" t="s">
        <v>447</v>
      </c>
      <c r="E11" s="18" t="s">
        <v>450</v>
      </c>
      <c r="F11" s="11" t="s">
        <v>469</v>
      </c>
    </row>
    <row r="12" customFormat="false" ht="15" hidden="false" customHeight="false" outlineLevel="0" collapsed="false">
      <c r="A12" s="6" t="s">
        <v>470</v>
      </c>
      <c r="B12" s="6" t="s">
        <v>391</v>
      </c>
      <c r="C12" s="6" t="s">
        <v>471</v>
      </c>
      <c r="D12" s="6" t="s">
        <v>447</v>
      </c>
      <c r="E12" s="6"/>
      <c r="F12" s="6" t="s">
        <v>472</v>
      </c>
    </row>
    <row r="13" customFormat="false" ht="15" hidden="false" customHeight="false" outlineLevel="0" collapsed="false">
      <c r="A13" s="0" t="s">
        <v>473</v>
      </c>
      <c r="B13" s="0" t="s">
        <v>416</v>
      </c>
      <c r="C13" s="0" t="s">
        <v>474</v>
      </c>
      <c r="D13" s="0" t="s">
        <v>447</v>
      </c>
      <c r="E13" s="18" t="s">
        <v>450</v>
      </c>
      <c r="F13" s="11" t="s">
        <v>475</v>
      </c>
    </row>
    <row r="14" customFormat="false" ht="15" hidden="false" customHeight="false" outlineLevel="0" collapsed="false">
      <c r="A14" s="6" t="s">
        <v>476</v>
      </c>
      <c r="B14" s="6" t="s">
        <v>416</v>
      </c>
      <c r="C14" s="6" t="s">
        <v>474</v>
      </c>
      <c r="D14" s="6" t="s">
        <v>447</v>
      </c>
      <c r="E14" s="6"/>
      <c r="F14" s="6" t="s">
        <v>477</v>
      </c>
    </row>
    <row r="15" customFormat="false" ht="15" hidden="false" customHeight="false" outlineLevel="0" collapsed="false">
      <c r="A15" s="0" t="s">
        <v>478</v>
      </c>
      <c r="B15" s="0" t="s">
        <v>416</v>
      </c>
      <c r="C15" s="0" t="s">
        <v>474</v>
      </c>
      <c r="D15" s="0" t="s">
        <v>447</v>
      </c>
      <c r="F15" s="0" t="s">
        <v>479</v>
      </c>
    </row>
    <row r="16" customFormat="false" ht="15" hidden="false" customHeight="false" outlineLevel="0" collapsed="false">
      <c r="A16" s="6" t="s">
        <v>480</v>
      </c>
      <c r="B16" s="6" t="s">
        <v>416</v>
      </c>
      <c r="C16" s="6" t="s">
        <v>474</v>
      </c>
      <c r="D16" s="6" t="s">
        <v>447</v>
      </c>
      <c r="E16" s="6"/>
      <c r="F16" s="6" t="s">
        <v>481</v>
      </c>
    </row>
    <row r="17" customFormat="false" ht="15" hidden="false" customHeight="false" outlineLevel="0" collapsed="false">
      <c r="A17" s="0" t="s">
        <v>482</v>
      </c>
      <c r="B17" s="0" t="s">
        <v>416</v>
      </c>
      <c r="C17" s="0" t="s">
        <v>483</v>
      </c>
      <c r="D17" s="0" t="s">
        <v>447</v>
      </c>
      <c r="E17" s="18" t="s">
        <v>450</v>
      </c>
      <c r="F17" s="11" t="s">
        <v>484</v>
      </c>
    </row>
    <row r="18" customFormat="false" ht="15" hidden="false" customHeight="false" outlineLevel="0" collapsed="false">
      <c r="A18" s="6" t="s">
        <v>485</v>
      </c>
      <c r="B18" s="6" t="s">
        <v>486</v>
      </c>
      <c r="C18" s="6" t="s">
        <v>466</v>
      </c>
      <c r="D18" s="6" t="s">
        <v>487</v>
      </c>
      <c r="E18" s="6"/>
      <c r="F18" s="6" t="s">
        <v>488</v>
      </c>
    </row>
    <row r="19" customFormat="false" ht="15" hidden="false" customHeight="false" outlineLevel="0" collapsed="false">
      <c r="A19" s="0" t="s">
        <v>489</v>
      </c>
      <c r="B19" s="0" t="s">
        <v>486</v>
      </c>
      <c r="C19" s="0" t="s">
        <v>466</v>
      </c>
      <c r="D19" s="0" t="s">
        <v>487</v>
      </c>
      <c r="F19" s="0" t="s">
        <v>490</v>
      </c>
    </row>
    <row r="20" customFormat="false" ht="15" hidden="false" customHeight="false" outlineLevel="0" collapsed="false">
      <c r="A20" s="6" t="s">
        <v>491</v>
      </c>
      <c r="B20" s="6" t="s">
        <v>486</v>
      </c>
      <c r="C20" s="6" t="s">
        <v>466</v>
      </c>
      <c r="D20" s="6" t="s">
        <v>487</v>
      </c>
      <c r="E20" s="19" t="s">
        <v>450</v>
      </c>
      <c r="F20" s="6" t="s">
        <v>492</v>
      </c>
    </row>
    <row r="21" customFormat="false" ht="15" hidden="false" customHeight="false" outlineLevel="0" collapsed="false">
      <c r="A21" s="0" t="s">
        <v>493</v>
      </c>
      <c r="B21" s="0" t="s">
        <v>486</v>
      </c>
      <c r="C21" s="0" t="s">
        <v>466</v>
      </c>
      <c r="D21" s="0" t="s">
        <v>487</v>
      </c>
      <c r="E21" s="18" t="s">
        <v>450</v>
      </c>
      <c r="F21" s="11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20" t="s">
        <v>495</v>
      </c>
      <c r="B1" s="20"/>
      <c r="C1" s="20"/>
    </row>
    <row r="3" customFormat="false" ht="15" hidden="false" customHeight="false" outlineLevel="0" collapsed="false">
      <c r="A3" s="5" t="s">
        <v>496</v>
      </c>
      <c r="B3" s="5" t="s">
        <v>497</v>
      </c>
      <c r="C3" s="5" t="s">
        <v>498</v>
      </c>
    </row>
    <row r="4" customFormat="false" ht="15" hidden="false" customHeight="false" outlineLevel="0" collapsed="false">
      <c r="A4" s="0" t="s">
        <v>499</v>
      </c>
      <c r="B4" s="0" t="s">
        <v>500</v>
      </c>
      <c r="C4" s="0" t="s">
        <v>501</v>
      </c>
    </row>
    <row r="5" customFormat="false" ht="15" hidden="false" customHeight="false" outlineLevel="0" collapsed="false">
      <c r="A5" s="6" t="s">
        <v>502</v>
      </c>
      <c r="B5" s="6" t="s">
        <v>503</v>
      </c>
      <c r="C5" s="6" t="s">
        <v>504</v>
      </c>
    </row>
    <row r="6" customFormat="false" ht="15" hidden="false" customHeight="false" outlineLevel="0" collapsed="false">
      <c r="A6" s="0" t="s">
        <v>505</v>
      </c>
      <c r="B6" s="0" t="s">
        <v>506</v>
      </c>
      <c r="C6" s="0" t="s">
        <v>507</v>
      </c>
    </row>
    <row r="7" customFormat="false" ht="15" hidden="false" customHeight="false" outlineLevel="0" collapsed="false">
      <c r="A7" s="6" t="s">
        <v>508</v>
      </c>
      <c r="B7" s="6" t="s">
        <v>509</v>
      </c>
      <c r="C7" s="6" t="s">
        <v>510</v>
      </c>
    </row>
    <row r="8" customFormat="false" ht="15" hidden="false" customHeight="false" outlineLevel="0" collapsed="false">
      <c r="A8" s="0" t="s">
        <v>511</v>
      </c>
      <c r="B8" s="0" t="s">
        <v>512</v>
      </c>
      <c r="C8" s="0" t="s">
        <v>513</v>
      </c>
    </row>
    <row r="9" customFormat="false" ht="15" hidden="false" customHeight="false" outlineLevel="0" collapsed="false">
      <c r="A9" s="6" t="s">
        <v>514</v>
      </c>
      <c r="B9" s="6" t="s">
        <v>515</v>
      </c>
      <c r="C9" s="6" t="s">
        <v>516</v>
      </c>
    </row>
    <row r="10" customFormat="false" ht="15" hidden="false" customHeight="false" outlineLevel="0" collapsed="false">
      <c r="A10" s="0" t="s">
        <v>517</v>
      </c>
      <c r="B10" s="0" t="s">
        <v>518</v>
      </c>
      <c r="C10" s="0" t="s">
        <v>519</v>
      </c>
    </row>
    <row r="11" customFormat="false" ht="15" hidden="false" customHeight="false" outlineLevel="0" collapsed="false">
      <c r="A11" s="6" t="s">
        <v>520</v>
      </c>
      <c r="B11" s="6" t="s">
        <v>521</v>
      </c>
      <c r="C11" s="6" t="s">
        <v>522</v>
      </c>
    </row>
    <row r="12" customFormat="false" ht="15" hidden="false" customHeight="false" outlineLevel="0" collapsed="false">
      <c r="A12" s="0" t="s">
        <v>523</v>
      </c>
      <c r="B12" s="0" t="s">
        <v>524</v>
      </c>
      <c r="C12" s="0" t="s">
        <v>525</v>
      </c>
    </row>
    <row r="13" customFormat="false" ht="15" hidden="false" customHeight="false" outlineLevel="0" collapsed="false">
      <c r="A13" s="6" t="s">
        <v>526</v>
      </c>
      <c r="B13" s="6" t="s">
        <v>527</v>
      </c>
      <c r="C13" s="6" t="s">
        <v>528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4"/>
  </cols>
  <sheetData>
    <row r="1" customFormat="false" ht="18.55" hidden="false" customHeight="false" outlineLevel="0" collapsed="false">
      <c r="A1" s="20" t="s">
        <v>529</v>
      </c>
      <c r="B1" s="20"/>
      <c r="C1" s="20"/>
      <c r="D1" s="20"/>
    </row>
    <row r="2" customFormat="false" ht="15" hidden="false" customHeight="false" outlineLevel="0" collapsed="false">
      <c r="A2" s="21" t="s">
        <v>530</v>
      </c>
      <c r="B2" s="21"/>
      <c r="C2" s="21"/>
      <c r="D2" s="21"/>
    </row>
    <row r="4" customFormat="false" ht="15" hidden="false" customHeight="false" outlineLevel="0" collapsed="false">
      <c r="A4" s="3" t="s">
        <v>531</v>
      </c>
    </row>
    <row r="5" customFormat="false" ht="15" hidden="false" customHeight="false" outlineLevel="0" collapsed="false">
      <c r="A5" s="5" t="s">
        <v>26</v>
      </c>
      <c r="B5" s="5" t="s">
        <v>532</v>
      </c>
      <c r="C5" s="5" t="s">
        <v>43</v>
      </c>
      <c r="D5" s="5" t="s">
        <v>45</v>
      </c>
    </row>
    <row r="6" customFormat="false" ht="15" hidden="false" customHeight="false" outlineLevel="0" collapsed="false">
      <c r="A6" s="0" t="s">
        <v>51</v>
      </c>
      <c r="B6" s="0" t="n">
        <f aca="false">COUNTIF(Run_Manifest!$C$2:$C$245,"P2")</f>
        <v>171</v>
      </c>
      <c r="C6" s="13" t="n">
        <f aca="false">SUMIF(Run_Manifest!$C$2:$C$245,"P2",Run_Manifest!$T$2:$T$245)</f>
        <v>654967950</v>
      </c>
      <c r="D6" s="15" t="n">
        <f aca="false">SUMIF(Run_Manifest!$C$2:$C$245,"P2",Run_Manifest!$V$2:$V$245)</f>
        <v>352.47807</v>
      </c>
    </row>
    <row r="7" customFormat="false" ht="15" hidden="false" customHeight="false" outlineLevel="0" collapsed="false">
      <c r="A7" s="0" t="s">
        <v>222</v>
      </c>
      <c r="B7" s="0" t="n">
        <f aca="false">COUNTIF(Run_Manifest!$C$2:$C$245,"P3")</f>
        <v>40</v>
      </c>
      <c r="C7" s="13" t="n">
        <f aca="false">SUMIF(Run_Manifest!$C$2:$C$245,"P3",Run_Manifest!$T$2:$T$245)</f>
        <v>255151250</v>
      </c>
      <c r="D7" s="15" t="n">
        <f aca="false">SUMIF(Run_Manifest!$C$2:$C$245,"P3",Run_Manifest!$V$2:$V$245)</f>
        <v>153.09075</v>
      </c>
    </row>
    <row r="8" customFormat="false" ht="15" hidden="false" customHeight="false" outlineLevel="0" collapsed="false">
      <c r="A8" s="0" t="s">
        <v>251</v>
      </c>
      <c r="B8" s="0" t="n">
        <f aca="false">COUNTIF(Run_Manifest!$C$2:$C$245,"P4")</f>
        <v>33</v>
      </c>
      <c r="C8" s="13" t="n">
        <f aca="false">SUMIF(Run_Manifest!$C$2:$C$245,"P4",Run_Manifest!$T$2:$T$245)</f>
        <v>170926800</v>
      </c>
      <c r="D8" s="15" t="n">
        <f aca="false">SUMIF(Run_Manifest!$C$2:$C$245,"P4",Run_Manifest!$V$2:$V$245)</f>
        <v>85.9210425</v>
      </c>
    </row>
    <row r="9" customFormat="false" ht="15" hidden="false" customHeight="false" outlineLevel="0" collapsed="false">
      <c r="A9" s="16" t="s">
        <v>533</v>
      </c>
      <c r="B9" s="16" t="n">
        <f aca="false">SUM(B6:B8)</f>
        <v>244</v>
      </c>
      <c r="C9" s="17" t="n">
        <f aca="false">SUM(C6:C8)</f>
        <v>1081046000</v>
      </c>
      <c r="D9" s="22" t="n">
        <f aca="false">SUM(D6:D8)</f>
        <v>591.4898625</v>
      </c>
    </row>
    <row r="10" customFormat="false" ht="15" hidden="false" customHeight="false" outlineLevel="0" collapsed="false">
      <c r="A10" s="23" t="s">
        <v>534</v>
      </c>
      <c r="C10" s="24" t="n">
        <f aca="false">C9*1.5</f>
        <v>1621569000</v>
      </c>
      <c r="D10" s="25" t="n">
        <f aca="false">D9*1.5</f>
        <v>887.23479375</v>
      </c>
    </row>
    <row r="11" customFormat="false" ht="15" hidden="false" customHeight="false" outlineLevel="0" collapsed="false">
      <c r="A11" s="21" t="s">
        <v>535</v>
      </c>
      <c r="B11" s="21"/>
      <c r="C11" s="21"/>
      <c r="D11" s="21"/>
    </row>
    <row r="12" customFormat="false" ht="15" hidden="false" customHeight="false" outlineLevel="0" collapsed="false">
      <c r="A12" s="3" t="s">
        <v>536</v>
      </c>
    </row>
    <row r="13" customFormat="false" ht="15" hidden="false" customHeight="false" outlineLevel="0" collapsed="false">
      <c r="A13" s="5" t="s">
        <v>28</v>
      </c>
      <c r="B13" s="5" t="s">
        <v>532</v>
      </c>
      <c r="C13" s="5" t="s">
        <v>43</v>
      </c>
      <c r="D13" s="5" t="s">
        <v>45</v>
      </c>
    </row>
    <row r="14" customFormat="false" ht="15" hidden="false" customHeight="false" outlineLevel="0" collapsed="false">
      <c r="A14" s="6" t="s">
        <v>53</v>
      </c>
      <c r="B14" s="6" t="n">
        <f aca="false">COUNTIF(Run_Manifest!$E$2:$E$245,"No-RAG")</f>
        <v>24</v>
      </c>
      <c r="C14" s="8" t="n">
        <f aca="false">SUMIF(Run_Manifest!$E$2:$E$245,"No-RAG",Run_Manifest!$T$2:$T$245)</f>
        <v>5824350</v>
      </c>
      <c r="D14" s="10" t="n">
        <f aca="false">SUMIF(Run_Manifest!$E$2:$E$245,"No-RAG",Run_Manifest!$V$2:$V$245)</f>
        <v>3.49461</v>
      </c>
    </row>
    <row r="15" customFormat="false" ht="15" hidden="false" customHeight="false" outlineLevel="0" collapsed="false">
      <c r="A15" s="0" t="s">
        <v>91</v>
      </c>
      <c r="B15" s="0" t="n">
        <f aca="false">COUNTIF(Run_Manifest!$E$2:$E$245,"BM25")</f>
        <v>24</v>
      </c>
      <c r="C15" s="13" t="n">
        <f aca="false">SUMIF(Run_Manifest!$E$2:$E$245,"BM25",Run_Manifest!$T$2:$T$245)</f>
        <v>104838300</v>
      </c>
      <c r="D15" s="15" t="n">
        <f aca="false">SUMIF(Run_Manifest!$E$2:$E$245,"BM25",Run_Manifest!$V$2:$V$245)</f>
        <v>62.90298</v>
      </c>
    </row>
    <row r="16" customFormat="false" ht="15" hidden="false" customHeight="false" outlineLevel="0" collapsed="false">
      <c r="A16" s="6" t="s">
        <v>117</v>
      </c>
      <c r="B16" s="6" t="n">
        <f aca="false">COUNTIF(Run_Manifest!$E$2:$E$245,"Dense-MedCPT")</f>
        <v>33</v>
      </c>
      <c r="C16" s="8" t="n">
        <f aca="false">SUMIF(Run_Manifest!$E$2:$E$245,"Dense-MedCPT",Run_Manifest!$T$2:$T$245)</f>
        <v>148632000</v>
      </c>
      <c r="D16" s="10" t="n">
        <f aca="false">SUMIF(Run_Manifest!$E$2:$E$245,"Dense-MedCPT",Run_Manifest!$V$2:$V$245)</f>
        <v>74.71395</v>
      </c>
    </row>
    <row r="17" customFormat="false" ht="15" hidden="false" customHeight="false" outlineLevel="0" collapsed="false">
      <c r="A17" s="0" t="s">
        <v>142</v>
      </c>
      <c r="B17" s="0" t="n">
        <f aca="false">COUNTIF(Run_Manifest!$E$2:$E$245,"Graph-only")</f>
        <v>33</v>
      </c>
      <c r="C17" s="13" t="n">
        <f aca="false">SUMIF(Run_Manifest!$E$2:$E$245,"Graph-only",Run_Manifest!$T$2:$T$245)</f>
        <v>104042400</v>
      </c>
      <c r="D17" s="15" t="n">
        <f aca="false">SUMIF(Run_Manifest!$E$2:$E$245,"Graph-only",Run_Manifest!$V$2:$V$245)</f>
        <v>52.299765</v>
      </c>
    </row>
    <row r="18" customFormat="false" ht="15" hidden="false" customHeight="false" outlineLevel="0" collapsed="false">
      <c r="A18" s="6" t="s">
        <v>170</v>
      </c>
      <c r="B18" s="6" t="n">
        <f aca="false">COUNTIF(Run_Manifest!$E$2:$E$245,"MedGraphRAG-repro")</f>
        <v>24</v>
      </c>
      <c r="C18" s="8" t="n">
        <f aca="false">SUMIF(Run_Manifest!$E$2:$E$245,"MedGraphRAG-repro",Run_Manifest!$T$2:$T$245)</f>
        <v>128135700</v>
      </c>
      <c r="D18" s="10" t="n">
        <f aca="false">SUMIF(Run_Manifest!$E$2:$E$245,"MedGraphRAG-repro",Run_Manifest!$V$2:$V$245)</f>
        <v>76.88142</v>
      </c>
    </row>
    <row r="19" customFormat="false" ht="15" hidden="false" customHeight="false" outlineLevel="0" collapsed="false">
      <c r="A19" s="0" t="s">
        <v>279</v>
      </c>
      <c r="B19" s="0" t="n">
        <f aca="false">COUNTIF(Run_Manifest!$E$2:$E$245,"Hybrid-RRF2")</f>
        <v>4</v>
      </c>
      <c r="C19" s="13" t="n">
        <f aca="false">SUMIF(Run_Manifest!$E$2:$E$245,"Hybrid-RRF2",Run_Manifest!$T$2:$T$245)</f>
        <v>29538500</v>
      </c>
      <c r="D19" s="15" t="n">
        <f aca="false">SUMIF(Run_Manifest!$E$2:$E$245,"Hybrid-RRF2",Run_Manifest!$V$2:$V$245)</f>
        <v>17.7231</v>
      </c>
    </row>
    <row r="20" customFormat="false" ht="15" hidden="false" customHeight="false" outlineLevel="0" collapsed="false">
      <c r="A20" s="6" t="s">
        <v>196</v>
      </c>
      <c r="B20" s="6" t="n">
        <f aca="false">COUNTIF(Run_Manifest!$E$2:$E$245,"Hybrid-RRF4")</f>
        <v>33</v>
      </c>
      <c r="C20" s="8" t="n">
        <f aca="false">SUMIF(Run_Manifest!$E$2:$E$245,"Hybrid-RRF4",Run_Manifest!$T$2:$T$245)</f>
        <v>163495200</v>
      </c>
      <c r="D20" s="10" t="n">
        <f aca="false">SUMIF(Run_Manifest!$E$2:$E$245,"Hybrid-RRF4",Run_Manifest!$V$2:$V$245)</f>
        <v>82.185345</v>
      </c>
    </row>
    <row r="21" customFormat="false" ht="15" hidden="false" customHeight="false" outlineLevel="0" collapsed="false">
      <c r="A21" s="0" t="s">
        <v>224</v>
      </c>
      <c r="B21" s="0" t="n">
        <f aca="false">COUNTIF(Run_Manifest!$E$2:$E$245,"Hybrid-CARRF")</f>
        <v>24</v>
      </c>
      <c r="C21" s="13" t="n">
        <f aca="false">SUMIF(Run_Manifest!$E$2:$E$245,"Hybrid-CARRF",Run_Manifest!$T$2:$T$245)</f>
        <v>128135700</v>
      </c>
      <c r="D21" s="15" t="n">
        <f aca="false">SUMIF(Run_Manifest!$E$2:$E$245,"Hybrid-CARRF",Run_Manifest!$V$2:$V$245)</f>
        <v>76.88142</v>
      </c>
    </row>
    <row r="22" customFormat="false" ht="15" hidden="false" customHeight="false" outlineLevel="0" collapsed="false">
      <c r="A22" s="6" t="s">
        <v>285</v>
      </c>
      <c r="B22" s="6" t="n">
        <f aca="false">COUNTIF(Run_Manifest!$E$2:$E$245,"Hybrid-CARRF-staticRerank")</f>
        <v>4</v>
      </c>
      <c r="C22" s="8" t="n">
        <f aca="false">SUMIF(Run_Manifest!$E$2:$E$245,"Hybrid-CARRF-staticRerank",Run_Manifest!$T$2:$T$245)</f>
        <v>35446200</v>
      </c>
      <c r="D22" s="10" t="n">
        <f aca="false">SUMIF(Run_Manifest!$E$2:$E$245,"Hybrid-CARRF-staticRerank",Run_Manifest!$V$2:$V$245)</f>
        <v>21.26772</v>
      </c>
    </row>
    <row r="23" customFormat="false" ht="15" hidden="false" customHeight="false" outlineLevel="0" collapsed="false">
      <c r="A23" s="0" t="s">
        <v>252</v>
      </c>
      <c r="B23" s="0" t="n">
        <f aca="false">COUNTIF(Run_Manifest!$E$2:$E$245,"Hybrid-CARRF-CARe")</f>
        <v>33</v>
      </c>
      <c r="C23" s="13" t="n">
        <f aca="false">SUMIF(Run_Manifest!$E$2:$E$245,"Hybrid-CARRF-CARe",Run_Manifest!$T$2:$T$245)</f>
        <v>170926800</v>
      </c>
      <c r="D23" s="15" t="n">
        <f aca="false">SUMIF(Run_Manifest!$E$2:$E$245,"Hybrid-CARRF-CARe",Run_Manifest!$V$2:$V$245)</f>
        <v>85.9210425</v>
      </c>
    </row>
    <row r="24" customFormat="false" ht="15" hidden="false" customHeight="false" outlineLevel="0" collapsed="false">
      <c r="A24" s="6" t="s">
        <v>291</v>
      </c>
      <c r="B24" s="6" t="n">
        <f aca="false">COUNTIF(Run_Manifest!$E$2:$E$245,"Hybrid-CARRF-noVecIndex")</f>
        <v>4</v>
      </c>
      <c r="C24" s="8" t="n">
        <f aca="false">SUMIF(Run_Manifest!$E$2:$E$245,"Hybrid-CARRF-noVecIndex",Run_Manifest!$T$2:$T$245)</f>
        <v>32492350</v>
      </c>
      <c r="D24" s="10" t="n">
        <f aca="false">SUMIF(Run_Manifest!$E$2:$E$245,"Hybrid-CARRF-noVecIndex",Run_Manifest!$V$2:$V$245)</f>
        <v>19.49541</v>
      </c>
    </row>
    <row r="25" customFormat="false" ht="15" hidden="false" customHeight="false" outlineLevel="0" collapsed="false">
      <c r="A25" s="0" t="s">
        <v>296</v>
      </c>
      <c r="B25" s="0" t="n">
        <f aca="false">COUNTIF(Run_Manifest!$E$2:$E$245,"Hybrid-CARRF-noGrounding")</f>
        <v>4</v>
      </c>
      <c r="C25" s="13" t="n">
        <f aca="false">SUMIF(Run_Manifest!$E$2:$E$245,"Hybrid-CARRF-noGrounding",Run_Manifest!$T$2:$T$245)</f>
        <v>29538500</v>
      </c>
      <c r="D25" s="15" t="n">
        <f aca="false">SUMIF(Run_Manifest!$E$2:$E$245,"Hybrid-CARRF-noGrounding",Run_Manifest!$V$2:$V$245)</f>
        <v>17.7231</v>
      </c>
    </row>
    <row r="27" customFormat="false" ht="15" hidden="false" customHeight="false" outlineLevel="0" collapsed="false">
      <c r="A27" s="3" t="s">
        <v>537</v>
      </c>
    </row>
    <row r="28" customFormat="false" ht="15" hidden="false" customHeight="false" outlineLevel="0" collapsed="false">
      <c r="A28" s="5" t="s">
        <v>29</v>
      </c>
      <c r="B28" s="5" t="s">
        <v>532</v>
      </c>
      <c r="C28" s="5" t="s">
        <v>43</v>
      </c>
      <c r="D28" s="5" t="s">
        <v>45</v>
      </c>
    </row>
    <row r="29" customFormat="false" ht="15" hidden="false" customHeight="false" outlineLevel="0" collapsed="false">
      <c r="A29" s="0" t="s">
        <v>54</v>
      </c>
      <c r="B29" s="0" t="n">
        <f aca="false">COUNTIF(Run_Manifest!$F$2:$F$245,"Llama-70B")</f>
        <v>208</v>
      </c>
      <c r="C29" s="13" t="n">
        <f aca="false">SUMIF(Run_Manifest!$F$2:$F$245,"Llama-70B",Run_Manifest!$T$2:$T$245)</f>
        <v>954073250</v>
      </c>
      <c r="D29" s="15" t="n">
        <f aca="false">SUMIF(Run_Manifest!$F$2:$F$245,"Llama-70B",Run_Manifest!$V$2:$V$245)</f>
        <v>572.44395</v>
      </c>
    </row>
    <row r="30" customFormat="false" ht="15" hidden="false" customHeight="false" outlineLevel="0" collapsed="false">
      <c r="A30" s="6" t="s">
        <v>302</v>
      </c>
      <c r="B30" s="6" t="n">
        <f aca="false">COUNTIF(Run_Manifest!$F$2:$F$245,"Qwen-14B")</f>
        <v>12</v>
      </c>
      <c r="C30" s="8" t="n">
        <f aca="false">SUMIF(Run_Manifest!$F$2:$F$245,"Qwen-14B",Run_Manifest!$T$2:$T$245)</f>
        <v>42324250</v>
      </c>
      <c r="D30" s="10" t="n">
        <f aca="false">SUMIF(Run_Manifest!$F$2:$F$245,"Qwen-14B",Run_Manifest!$V$2:$V$245)</f>
        <v>6.3486375</v>
      </c>
    </row>
    <row r="31" customFormat="false" ht="15" hidden="false" customHeight="false" outlineLevel="0" collapsed="false">
      <c r="A31" s="0" t="s">
        <v>315</v>
      </c>
      <c r="B31" s="0" t="n">
        <f aca="false">COUNTIF(Run_Manifest!$F$2:$F$245,"Mistral-24B")</f>
        <v>12</v>
      </c>
      <c r="C31" s="13" t="n">
        <f aca="false">SUMIF(Run_Manifest!$F$2:$F$245,"Mistral-24B",Run_Manifest!$T$2:$T$245)</f>
        <v>42324250</v>
      </c>
      <c r="D31" s="15" t="n">
        <f aca="false">SUMIF(Run_Manifest!$F$2:$F$245,"Mistral-24B",Run_Manifest!$V$2:$V$245)</f>
        <v>8.46485</v>
      </c>
    </row>
    <row r="32" customFormat="false" ht="15" hidden="false" customHeight="false" outlineLevel="0" collapsed="false">
      <c r="A32" s="6" t="s">
        <v>328</v>
      </c>
      <c r="B32" s="6" t="n">
        <f aca="false">COUNTIF(Run_Manifest!$F$2:$F$245,"BioMed-8B")</f>
        <v>12</v>
      </c>
      <c r="C32" s="8" t="n">
        <f aca="false">SUMIF(Run_Manifest!$F$2:$F$245,"BioMed-8B",Run_Manifest!$T$2:$T$245)</f>
        <v>42324250</v>
      </c>
      <c r="D32" s="10" t="n">
        <f aca="false">SUMIF(Run_Manifest!$F$2:$F$245,"BioMed-8B",Run_Manifest!$V$2:$V$245)</f>
        <v>4.232425</v>
      </c>
    </row>
    <row r="34" customFormat="false" ht="15" hidden="false" customHeight="false" outlineLevel="0" collapsed="false">
      <c r="A34" s="3" t="s">
        <v>538</v>
      </c>
    </row>
    <row r="35" customFormat="false" ht="15" hidden="false" customHeight="false" outlineLevel="0" collapsed="false">
      <c r="A35" s="5" t="s">
        <v>32</v>
      </c>
      <c r="B35" s="5" t="s">
        <v>532</v>
      </c>
      <c r="C35" s="5" t="s">
        <v>539</v>
      </c>
    </row>
    <row r="36" customFormat="false" ht="15" hidden="false" customHeight="false" outlineLevel="0" collapsed="false">
      <c r="A36" s="0" t="s">
        <v>56</v>
      </c>
      <c r="B36" s="0" t="n">
        <f aca="false">COUNTIF(Run_Manifest!$I$2:$I$245,"Pending")</f>
        <v>244</v>
      </c>
      <c r="C36" s="26" t="n">
        <f aca="false">IF($B$42=0,0,B36/$B$42)</f>
        <v>1</v>
      </c>
    </row>
    <row r="37" customFormat="false" ht="15" hidden="false" customHeight="false" outlineLevel="0" collapsed="false">
      <c r="A37" s="0" t="s">
        <v>540</v>
      </c>
      <c r="B37" s="0" t="n">
        <f aca="false">COUNTIF(Run_Manifest!$I$2:$I$245,"Ready")</f>
        <v>0</v>
      </c>
      <c r="C37" s="26" t="n">
        <f aca="false">IF($B$42=0,0,B37/$B$42)</f>
        <v>0</v>
      </c>
    </row>
    <row r="38" customFormat="false" ht="15" hidden="false" customHeight="false" outlineLevel="0" collapsed="false">
      <c r="A38" s="0" t="s">
        <v>541</v>
      </c>
      <c r="B38" s="0" t="n">
        <f aca="false">COUNTIF(Run_Manifest!$I$2:$I$245,"Running")</f>
        <v>0</v>
      </c>
      <c r="C38" s="26" t="n">
        <f aca="false">IF($B$42=0,0,B38/$B$42)</f>
        <v>0</v>
      </c>
    </row>
    <row r="39" customFormat="false" ht="15" hidden="false" customHeight="false" outlineLevel="0" collapsed="false">
      <c r="A39" s="0" t="s">
        <v>542</v>
      </c>
      <c r="B39" s="0" t="n">
        <f aca="false">COUNTIF(Run_Manifest!$I$2:$I$245,"Done")</f>
        <v>0</v>
      </c>
      <c r="C39" s="26" t="n">
        <f aca="false">IF($B$42=0,0,B39/$B$42)</f>
        <v>0</v>
      </c>
    </row>
    <row r="40" customFormat="false" ht="15" hidden="false" customHeight="false" outlineLevel="0" collapsed="false">
      <c r="A40" s="0" t="s">
        <v>543</v>
      </c>
      <c r="B40" s="0" t="n">
        <f aca="false">COUNTIF(Run_Manifest!$I$2:$I$245,"Failed")</f>
        <v>0</v>
      </c>
      <c r="C40" s="26" t="n">
        <f aca="false">IF($B$42=0,0,B40/$B$42)</f>
        <v>0</v>
      </c>
    </row>
    <row r="41" customFormat="false" ht="15" hidden="false" customHeight="false" outlineLevel="0" collapsed="false">
      <c r="A41" s="0" t="s">
        <v>544</v>
      </c>
      <c r="B41" s="0" t="n">
        <f aca="false">COUNTIF(Run_Manifest!$I$2:$I$245,"Blocked")</f>
        <v>0</v>
      </c>
      <c r="C41" s="26" t="n">
        <f aca="false">IF($B$42=0,0,B41/$B$42)</f>
        <v>0</v>
      </c>
    </row>
    <row r="42" customFormat="false" ht="15" hidden="false" customHeight="false" outlineLevel="0" collapsed="false">
      <c r="A42" s="16" t="s">
        <v>533</v>
      </c>
      <c r="B42" s="16" t="n">
        <f aca="false">COUNTA(Run_Manifest!$A$2:$A$245)</f>
        <v>244</v>
      </c>
      <c r="C42" s="27" t="n">
        <f aca="false">IF(B42=0,0,SUM(B36:B41)/B42)</f>
        <v>1</v>
      </c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B4BD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72"/>
    <col collapsed="false" customWidth="true" hidden="false" outlineLevel="0" max="4" min="4" style="0" width="10"/>
  </cols>
  <sheetData>
    <row r="1" customFormat="false" ht="18.55" hidden="false" customHeight="false" outlineLevel="0" collapsed="false">
      <c r="A1" s="20" t="s">
        <v>545</v>
      </c>
      <c r="B1" s="20"/>
      <c r="C1" s="20"/>
      <c r="D1" s="20"/>
    </row>
    <row r="3" customFormat="false" ht="15" hidden="false" customHeight="false" outlineLevel="0" collapsed="false">
      <c r="A3" s="5" t="s">
        <v>546</v>
      </c>
      <c r="B3" s="5" t="s">
        <v>547</v>
      </c>
      <c r="C3" s="5" t="s">
        <v>548</v>
      </c>
      <c r="D3" s="5" t="s">
        <v>549</v>
      </c>
    </row>
    <row r="4" customFormat="false" ht="15" hidden="false" customHeight="false" outlineLevel="0" collapsed="false">
      <c r="A4" s="0" t="s">
        <v>550</v>
      </c>
      <c r="B4" s="0" t="n">
        <v>10</v>
      </c>
      <c r="C4" s="0" t="s">
        <v>551</v>
      </c>
      <c r="D4" s="11" t="s">
        <v>56</v>
      </c>
    </row>
    <row r="5" customFormat="false" ht="15" hidden="false" customHeight="false" outlineLevel="0" collapsed="false">
      <c r="A5" s="6" t="s">
        <v>552</v>
      </c>
      <c r="B5" s="6" t="n">
        <v>20</v>
      </c>
      <c r="C5" s="6" t="s">
        <v>553</v>
      </c>
      <c r="D5" s="6" t="s">
        <v>56</v>
      </c>
    </row>
    <row r="6" customFormat="false" ht="15" hidden="false" customHeight="false" outlineLevel="0" collapsed="false">
      <c r="A6" s="0" t="s">
        <v>554</v>
      </c>
      <c r="B6" s="0" t="n">
        <v>30</v>
      </c>
      <c r="C6" s="0" t="s">
        <v>555</v>
      </c>
      <c r="D6" s="11" t="s">
        <v>56</v>
      </c>
    </row>
    <row r="7" customFormat="false" ht="15" hidden="false" customHeight="false" outlineLevel="0" collapsed="false">
      <c r="A7" s="6" t="s">
        <v>556</v>
      </c>
      <c r="B7" s="6" t="n">
        <v>40</v>
      </c>
      <c r="C7" s="6" t="s">
        <v>557</v>
      </c>
      <c r="D7" s="6" t="s">
        <v>56</v>
      </c>
    </row>
    <row r="8" customFormat="false" ht="15" hidden="false" customHeight="false" outlineLevel="0" collapsed="false">
      <c r="A8" s="0" t="s">
        <v>558</v>
      </c>
      <c r="B8" s="0" t="n">
        <v>50</v>
      </c>
      <c r="C8" s="0" t="s">
        <v>559</v>
      </c>
      <c r="D8" s="11" t="s">
        <v>56</v>
      </c>
    </row>
  </sheetData>
  <mergeCells count="1">
    <mergeCell ref="A1:D1"/>
  </mergeCells>
  <conditionalFormatting sqref="D4:D8">
    <cfRule type="cellIs" priority="2" operator="equal" aboveAverage="0" equalAverage="0" bottom="0" percent="0" rank="0" text="" dxfId="13">
      <formula>"Passed"</formula>
    </cfRule>
    <cfRule type="cellIs" priority="3" operator="equal" aboveAverage="0" equalAverage="0" bottom="0" percent="0" rank="0" text="" dxfId="14">
      <formula>"Slipped"</formula>
    </cfRule>
  </conditionalFormatting>
  <dataValidations count="1">
    <dataValidation allowBlank="true" errorStyle="stop" operator="between" showDropDown="false" showErrorMessage="false" showInputMessage="false" sqref="D4:D8" type="list">
      <formula1>"Pending,Passed,Slipped"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2026-06-14T11:02:03Z</dcterms:created>
  <dc:creator>openpyxl</dc:creator>
  <dc:description/>
  <dc:language>en-US</dc:language>
  <cp:lastModifiedBy/>
  <dcterms:modified xsi:type="dcterms:W3CDTF">2026-06-14T11:02:03Z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